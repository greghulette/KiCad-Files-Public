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ulette\Documents\GitHub\KiCad-Files-Public\NaviHiltCore\"/>
    </mc:Choice>
  </mc:AlternateContent>
  <xr:revisionPtr revIDLastSave="0" documentId="13_ncr:9_{31C04A53-7085-41A0-B1C3-401CD22D53A3}" xr6:coauthVersionLast="47" xr6:coauthVersionMax="47" xr10:uidLastSave="{00000000-0000-0000-0000-000000000000}"/>
  <bookViews>
    <workbookView xWindow="30615" yWindow="-21225" windowWidth="31650" windowHeight="15015" xr2:uid="{0A3D6FCB-7DE8-4C23-B286-B047E57D5E9F}"/>
  </bookViews>
  <sheets>
    <sheet name="NaviHiltCo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9" i="1" l="1"/>
  <c r="K1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</calcChain>
</file>

<file path=xl/sharedStrings.xml><?xml version="1.0" encoding="utf-8"?>
<sst xmlns="http://schemas.openxmlformats.org/spreadsheetml/2006/main" count="81" uniqueCount="72">
  <si>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</si>
  <si>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</si>
  <si>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</si>
  <si>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</si>
  <si>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</si>
  <si>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</si>
  <si>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</si>
  <si>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</si>
  <si>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MF</t>
  </si>
  <si>
    <t>Package</t>
  </si>
  <si>
    <t>Price</t>
  </si>
  <si>
    <t>C1,C4</t>
  </si>
  <si>
    <t>100uF</t>
  </si>
  <si>
    <t>Capacitor_SMD:C_0805_2012Metric</t>
  </si>
  <si>
    <t>C2,C5</t>
  </si>
  <si>
    <t>10uF</t>
  </si>
  <si>
    <t>C3,C6</t>
  </si>
  <si>
    <t>100nF</t>
  </si>
  <si>
    <t>IC1,IC2</t>
  </si>
  <si>
    <t>E22-900M22S</t>
  </si>
  <si>
    <t>01-Custom:E22-900M22S</t>
  </si>
  <si>
    <t>EBYTE</t>
  </si>
  <si>
    <t>None</t>
  </si>
  <si>
    <t>J1</t>
  </si>
  <si>
    <t>SBUS Out</t>
  </si>
  <si>
    <t>Connector_PinHeader_2.54mm:PinHeader_1x03_P2.54mm_Vertical</t>
  </si>
  <si>
    <t>J2</t>
  </si>
  <si>
    <t>PWM1</t>
  </si>
  <si>
    <t>J3</t>
  </si>
  <si>
    <t>PWM2</t>
  </si>
  <si>
    <t>J4</t>
  </si>
  <si>
    <t>PWM3</t>
  </si>
  <si>
    <t>J6</t>
  </si>
  <si>
    <t>Maestro</t>
  </si>
  <si>
    <t>Connector_PinHeader_2.54mm:PinHeader_1x04_P2.54mm_Vertical</t>
  </si>
  <si>
    <t>J7</t>
  </si>
  <si>
    <t>Serial1</t>
  </si>
  <si>
    <t>J8</t>
  </si>
  <si>
    <t>Serial2</t>
  </si>
  <si>
    <t>J10</t>
  </si>
  <si>
    <t>Screw_Terminal_01x02</t>
  </si>
  <si>
    <t>TerminalBlock_CUI:TerminalBlock_CUI_TB007-508-02_1x02_P5.08mm_Horizontal</t>
  </si>
  <si>
    <t>J11</t>
  </si>
  <si>
    <t>SBUS In</t>
  </si>
  <si>
    <t>J12,J13</t>
  </si>
  <si>
    <t>SMA</t>
  </si>
  <si>
    <t>Connector_Coaxial:SMA_Amphenol_132134_Vertical</t>
  </si>
  <si>
    <t>U1</t>
  </si>
  <si>
    <t>ESP32-S3-DevKitC-1-N16R8</t>
  </si>
  <si>
    <t>01-Custom:ESP32-S3DevKit-Multi</t>
  </si>
  <si>
    <t>U2</t>
  </si>
  <si>
    <t>01-Custom:D24V50F5_Step_Down_Regulator</t>
  </si>
  <si>
    <t>Manufac PN</t>
  </si>
  <si>
    <t>Digikey PN</t>
  </si>
  <si>
    <t>Cost per</t>
  </si>
  <si>
    <t>Total Cost</t>
  </si>
  <si>
    <t>GRM21BR60J107ME15L</t>
  </si>
  <si>
    <t>490-13981-1-ND</t>
  </si>
  <si>
    <t>C0805C106K8PACTU</t>
  </si>
  <si>
    <t>399-C0805C106K8PACTUCT-ND</t>
  </si>
  <si>
    <t>CL21B104KBCNNNC</t>
  </si>
  <si>
    <t>1276-1003-1-ND</t>
  </si>
  <si>
    <t>C411293</t>
  </si>
  <si>
    <t>https://www.lcsc.com/product-detail/C411293.html</t>
  </si>
  <si>
    <t>https://www.digikey.com/en/products/detail/samsung-electro-mechanics/CL21B104KBCNNNC/3886661?s=N4IgTCBcDaIIxgOwDYC0cAMGDM7UDkAREAXQF8g</t>
  </si>
  <si>
    <t>https://www.digikey.com/en/products/detail/kemet/C0805C106K8PACTU/1090830?s=N4IgTCBcDaIMwE4EFoDCAGAHOgrKgjOgGwDSmACgIKoAqAqrcgHIAiIAugL5A</t>
  </si>
  <si>
    <t>https://www.digikey.com/en/products/detail/murata-electronics/GRM21BR60J107ME15L/6155751?s=N4IgTCBcDaICwE4AMBaAjAZgQDjelAcgCIgC6AvkA</t>
  </si>
  <si>
    <t>https://www.digikey.com/en/products/detail/amphenol-rf/132134/1011907</t>
  </si>
  <si>
    <t>https://www.pololu.com/product/2857</t>
  </si>
  <si>
    <t>D24V22F3_Step_Down_Regulator</t>
  </si>
  <si>
    <t>Antenna</t>
  </si>
  <si>
    <t>https://www.digikey.com/en/products/detail/te-connectivity-linx/ANT-915-NUB-SMA/16123689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</si>
</sst>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Font="1"/>
    <xf numFmtId="0" fontId="8" fillId="4" borderId="0" xfId="9"/>
    <xf numFmtId="44" fontId="18" fillId="0" borderId="0" xfId="43" applyNumberForma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kemet/C0805C106K8PACTU/1090830?s=N4IgTCBcDaIMwE4EFoDCAGAHOgrKgjOgGwDSmACgIKoAqAqrcgHIAiIAugL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58A1-6D2C-4FFE-B393-AD8A3DC4AABF}">
  <dimension ref="B1:Q19"/>
  <sheetViews>
    <sheetView tabSelected="1" zoomScale="115" zoomScaleNormal="115" workbookViewId="0">
      <selection activeCell="L2" sqref="L2"/>
    </sheetView>
  </sheetViews>
  <sheetFormatPr defaultRowHeight="14.4" x14ac:dyDescent="0.3"/>
  <cols>
    <col min="4" max="4" width="30.44140625" bestFit="1" customWidth="1"/>
    <col min="5" max="7" width="0" hidden="1" customWidth="1"/>
    <col min="8" max="8" width="21.21875" bestFit="1" customWidth="1"/>
    <col min="9" max="9" width="29" bestFit="1" customWidth="1"/>
    <col min="12" max="12" width="38.88671875" customWidth="1"/>
    <col min="13" max="13" width="70.21875" bestFit="1" customWidth="1"/>
    <col min="15" max="15" width="6.109375" bestFit="1" customWidth="1"/>
  </cols>
  <sheetData>
    <row r="1" spans="2:1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52</v>
      </c>
      <c r="I1" t="s">
        <v>53</v>
      </c>
      <c r="J1" t="s">
        <v>54</v>
      </c>
      <c r="K1" t="s">
        <v>55</v>
      </c>
      <c r="M1" t="s">
        <v>6</v>
      </c>
      <c r="N1" t="s">
        <v>7</v>
      </c>
      <c r="O1" t="s">
        <v>8</v>
      </c>
      <c r="P1" t="s">
        <v>9</v>
      </c>
      <c r="Q1" t="s">
        <v>10</v>
      </c>
    </row>
    <row r="2" spans="2:17" x14ac:dyDescent="0.3">
      <c r="B2" t="s">
        <v>11</v>
      </c>
      <c r="C2">
        <v>2</v>
      </c>
      <c r="D2" t="s">
        <v>12</v>
      </c>
      <c r="H2" t="s">
        <v>56</v>
      </c>
      <c r="I2" t="s">
        <v>57</v>
      </c>
      <c r="J2" s="1">
        <v>0.99</v>
      </c>
      <c r="K2" s="2">
        <f>J2*C2</f>
        <v>1.98</v>
      </c>
      <c r="L2" s="2" t="s">
        <v>66</v>
      </c>
      <c r="M2" t="s">
        <v>13</v>
      </c>
    </row>
    <row r="3" spans="2:17" x14ac:dyDescent="0.3">
      <c r="B3" t="s">
        <v>14</v>
      </c>
      <c r="C3">
        <v>2</v>
      </c>
      <c r="D3" t="s">
        <v>15</v>
      </c>
      <c r="H3" t="s">
        <v>58</v>
      </c>
      <c r="I3" s="3" t="s">
        <v>59</v>
      </c>
      <c r="J3" s="1">
        <v>0.14000000000000001</v>
      </c>
      <c r="K3" s="2">
        <f t="shared" ref="K3:K18" si="0">J3*C3</f>
        <v>0.28000000000000003</v>
      </c>
      <c r="L3" s="5" t="s">
        <v>65</v>
      </c>
      <c r="M3" t="s">
        <v>13</v>
      </c>
    </row>
    <row r="4" spans="2:17" x14ac:dyDescent="0.3">
      <c r="B4" t="s">
        <v>16</v>
      </c>
      <c r="C4">
        <v>2</v>
      </c>
      <c r="D4" t="s">
        <v>17</v>
      </c>
      <c r="H4" t="s">
        <v>60</v>
      </c>
      <c r="I4" s="3" t="s">
        <v>61</v>
      </c>
      <c r="J4" s="1">
        <v>0.1</v>
      </c>
      <c r="K4" s="2">
        <f t="shared" si="0"/>
        <v>0.2</v>
      </c>
      <c r="L4" s="2" t="s">
        <v>64</v>
      </c>
      <c r="M4" t="s">
        <v>13</v>
      </c>
    </row>
    <row r="5" spans="2:17" x14ac:dyDescent="0.3">
      <c r="B5" t="s">
        <v>18</v>
      </c>
      <c r="C5">
        <v>2</v>
      </c>
      <c r="D5" t="s">
        <v>19</v>
      </c>
      <c r="I5" s="4" t="s">
        <v>62</v>
      </c>
      <c r="J5" s="1">
        <v>6.6</v>
      </c>
      <c r="K5" s="2">
        <f t="shared" si="0"/>
        <v>13.2</v>
      </c>
      <c r="L5" s="4" t="s">
        <v>63</v>
      </c>
      <c r="M5" t="s">
        <v>20</v>
      </c>
      <c r="O5" t="s">
        <v>21</v>
      </c>
      <c r="P5" t="s">
        <v>9</v>
      </c>
      <c r="Q5" t="s">
        <v>22</v>
      </c>
    </row>
    <row r="6" spans="2:17" x14ac:dyDescent="0.3">
      <c r="B6" t="s">
        <v>23</v>
      </c>
      <c r="C6">
        <v>1</v>
      </c>
      <c r="D6" t="s">
        <v>24</v>
      </c>
      <c r="J6" s="1"/>
      <c r="K6" s="2">
        <f t="shared" si="0"/>
        <v>0</v>
      </c>
      <c r="L6" s="2"/>
      <c r="M6" t="s">
        <v>25</v>
      </c>
    </row>
    <row r="7" spans="2:17" x14ac:dyDescent="0.3">
      <c r="B7" t="s">
        <v>26</v>
      </c>
      <c r="C7">
        <v>1</v>
      </c>
      <c r="D7" t="s">
        <v>27</v>
      </c>
      <c r="J7" s="1"/>
      <c r="K7" s="2">
        <f t="shared" si="0"/>
        <v>0</v>
      </c>
      <c r="L7" s="2"/>
      <c r="M7" t="s">
        <v>25</v>
      </c>
    </row>
    <row r="8" spans="2:17" x14ac:dyDescent="0.3">
      <c r="B8" t="s">
        <v>28</v>
      </c>
      <c r="C8">
        <v>1</v>
      </c>
      <c r="D8" t="s">
        <v>29</v>
      </c>
      <c r="J8" s="1"/>
      <c r="K8" s="2">
        <f t="shared" si="0"/>
        <v>0</v>
      </c>
      <c r="L8" s="2"/>
      <c r="M8" t="s">
        <v>25</v>
      </c>
    </row>
    <row r="9" spans="2:17" x14ac:dyDescent="0.3">
      <c r="B9" t="s">
        <v>30</v>
      </c>
      <c r="C9">
        <v>1</v>
      </c>
      <c r="D9" t="s">
        <v>31</v>
      </c>
      <c r="J9" s="1"/>
      <c r="K9" s="2">
        <f t="shared" si="0"/>
        <v>0</v>
      </c>
      <c r="L9" s="2"/>
      <c r="M9" t="s">
        <v>25</v>
      </c>
    </row>
    <row r="10" spans="2:17" x14ac:dyDescent="0.3">
      <c r="B10" t="s">
        <v>32</v>
      </c>
      <c r="C10">
        <v>1</v>
      </c>
      <c r="D10" t="s">
        <v>33</v>
      </c>
      <c r="J10" s="1"/>
      <c r="K10" s="2">
        <f t="shared" si="0"/>
        <v>0</v>
      </c>
      <c r="L10" s="2"/>
      <c r="M10" t="s">
        <v>34</v>
      </c>
    </row>
    <row r="11" spans="2:17" x14ac:dyDescent="0.3">
      <c r="B11" t="s">
        <v>35</v>
      </c>
      <c r="C11">
        <v>1</v>
      </c>
      <c r="D11" t="s">
        <v>36</v>
      </c>
      <c r="J11" s="1"/>
      <c r="K11" s="2">
        <f t="shared" si="0"/>
        <v>0</v>
      </c>
      <c r="L11" s="2"/>
      <c r="M11" t="s">
        <v>34</v>
      </c>
    </row>
    <row r="12" spans="2:17" x14ac:dyDescent="0.3">
      <c r="B12" t="s">
        <v>37</v>
      </c>
      <c r="C12">
        <v>1</v>
      </c>
      <c r="D12" t="s">
        <v>38</v>
      </c>
      <c r="J12" s="1"/>
      <c r="K12" s="2">
        <f t="shared" si="0"/>
        <v>0</v>
      </c>
      <c r="L12" s="2"/>
      <c r="M12" t="s">
        <v>34</v>
      </c>
    </row>
    <row r="13" spans="2:17" x14ac:dyDescent="0.3">
      <c r="B13" t="s">
        <v>39</v>
      </c>
      <c r="C13">
        <v>1</v>
      </c>
      <c r="D13" t="s">
        <v>40</v>
      </c>
      <c r="J13" s="1"/>
      <c r="K13" s="2">
        <f t="shared" si="0"/>
        <v>0</v>
      </c>
      <c r="L13" s="2"/>
      <c r="M13" t="s">
        <v>41</v>
      </c>
    </row>
    <row r="14" spans="2:17" x14ac:dyDescent="0.3">
      <c r="B14" t="s">
        <v>42</v>
      </c>
      <c r="C14">
        <v>1</v>
      </c>
      <c r="D14" t="s">
        <v>43</v>
      </c>
      <c r="J14" s="1"/>
      <c r="K14" s="2">
        <f t="shared" si="0"/>
        <v>0</v>
      </c>
      <c r="L14" s="2"/>
      <c r="M14" t="s">
        <v>25</v>
      </c>
    </row>
    <row r="15" spans="2:17" x14ac:dyDescent="0.3">
      <c r="B15" t="s">
        <v>44</v>
      </c>
      <c r="C15">
        <v>2</v>
      </c>
      <c r="D15" t="s">
        <v>45</v>
      </c>
      <c r="J15" s="1">
        <v>6.97</v>
      </c>
      <c r="K15" s="2">
        <f t="shared" si="0"/>
        <v>13.94</v>
      </c>
      <c r="L15" s="2" t="s">
        <v>67</v>
      </c>
      <c r="M15" t="s">
        <v>46</v>
      </c>
    </row>
    <row r="16" spans="2:17" x14ac:dyDescent="0.3">
      <c r="B16" t="s">
        <v>47</v>
      </c>
      <c r="C16">
        <v>1</v>
      </c>
      <c r="D16" t="s">
        <v>48</v>
      </c>
      <c r="J16" s="1"/>
      <c r="K16" s="2">
        <f t="shared" si="0"/>
        <v>0</v>
      </c>
      <c r="L16" s="2"/>
      <c r="M16" t="s">
        <v>49</v>
      </c>
    </row>
    <row r="17" spans="2:13" x14ac:dyDescent="0.3">
      <c r="B17" t="s">
        <v>50</v>
      </c>
      <c r="C17">
        <v>1</v>
      </c>
      <c r="D17" t="s">
        <v>69</v>
      </c>
      <c r="J17" s="1">
        <v>18.95</v>
      </c>
      <c r="K17" s="2">
        <f t="shared" si="0"/>
        <v>18.95</v>
      </c>
      <c r="L17" s="2" t="s">
        <v>68</v>
      </c>
      <c r="M17" t="s">
        <v>51</v>
      </c>
    </row>
    <row r="18" spans="2:13" x14ac:dyDescent="0.3">
      <c r="C18">
        <v>2</v>
      </c>
      <c r="D18" t="s">
        <v>70</v>
      </c>
      <c r="J18">
        <v>5.13</v>
      </c>
      <c r="K18" s="2">
        <f t="shared" si="0"/>
        <v>10.26</v>
      </c>
      <c r="L18" s="2" t="s">
        <v>71</v>
      </c>
    </row>
    <row r="19" spans="2:13" x14ac:dyDescent="0.3">
      <c r="K19" s="2">
        <f>SUM(K2:K18)</f>
        <v>58.809999999999995</v>
      </c>
    </row>
  </sheetData>
  <hyperlinks>
    <hyperlink ref="L3" r:id="rId1" xr:uid="{B81F2F03-001E-4CFE-9A57-B8A8F46911C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NaviHiltCore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Hulette</dc:creator>
  <cp:lastModifiedBy>Gregory Hulette</cp:lastModifiedBy>
  <dcterms:created xsi:type="dcterms:W3CDTF">2026-07-24T16:34:39Z</dcterms:created>
  <dcterms:modified xsi:type="dcterms:W3CDTF">2026-07-24T18:40:24Z</dcterms:modified>
</cp:coreProperties>
</file>