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3800" windowHeight="8292" tabRatio="600" firstSheet="0" activeTab="0" autoFilterDateGrouping="1"/>
  </bookViews>
  <sheets>
    <sheet xmlns:r="http://schemas.openxmlformats.org/officeDocument/2006/relationships" name="R2_HH_Controller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1" fillId="0" borderId="0"/>
    <xf numFmtId="44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0" fontId="18" fillId="0" borderId="0"/>
  </cellStyleXfs>
  <cellXfs count="12">
    <xf numFmtId="0" fontId="0" fillId="0" borderId="0" pivotButton="0" quotePrefix="0" xfId="0"/>
    <xf numFmtId="164" fontId="0" fillId="0" borderId="0" pivotButton="0" quotePrefix="0" xfId="1"/>
    <xf numFmtId="164" fontId="0" fillId="0" borderId="0" pivotButton="0" quotePrefix="0" xfId="0"/>
    <xf numFmtId="0" fontId="18" fillId="0" borderId="0" pivotButton="0" quotePrefix="0" xfId="43"/>
    <xf numFmtId="0" fontId="16" fillId="0" borderId="0" pivotButton="0" quotePrefix="0" xfId="0"/>
    <xf numFmtId="0" fontId="0" fillId="0" borderId="0" pivotButton="0" quotePrefix="0" xfId="0"/>
    <xf numFmtId="0" fontId="8" fillId="4" borderId="0" pivotButton="0" quotePrefix="0" xfId="9"/>
    <xf numFmtId="164" fontId="8" fillId="4" borderId="0" pivotButton="0" quotePrefix="0" xfId="9"/>
    <xf numFmtId="0" fontId="7" fillId="3" borderId="0" pivotButton="0" quotePrefix="0" xfId="8"/>
    <xf numFmtId="164" fontId="0" fillId="0" borderId="0" pivotButton="0" quotePrefix="0" xfId="1"/>
    <xf numFmtId="164" fontId="8" fillId="4" borderId="0" pivotButton="0" quotePrefix="0" xfId="9"/>
    <xf numFmtId="164" fontId="0" fillId="0" borderId="0" pivotButton="0" quotePrefix="0" xfId="0"/>
  </cellXfs>
  <cellStyles count="44">
    <cellStyle name="Normal" xfId="0" builtinId="0"/>
    <cellStyle name="Currency" xfId="1" builtinId="4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  <cellStyle name="Hyperlink" xfId="4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murata-electronics/GCM188R71E224KA55D/1765183?s=N4IgTCBcDaICwE4AMBaRBmArCgjCgcgCIgC6AvkA" TargetMode="External" Id="rId1"/><Relationship Type="http://schemas.openxmlformats.org/officeDocument/2006/relationships/hyperlink" Target="https://www.digikey.com/en/products/detail/walsin-technology-corporation/0603X106M100CT/15983159" TargetMode="External" Id="rId2"/><Relationship Type="http://schemas.openxmlformats.org/officeDocument/2006/relationships/hyperlink" Target="https://www.digikey.com/en/products/detail/jst-sales-america-inc/S2B-PH-SM4-TB/926655?s=N4IgTCBcDaIMpgEIFoAKAJZcCyAWZAKogPoAyAYscXAHLEgC6AvkA" TargetMode="External" Id="rId3"/><Relationship Type="http://schemas.openxmlformats.org/officeDocument/2006/relationships/hyperlink" Target="https://www.digikey.com/en/products/detail/e-switch/TL3360CF185Q/5816189?s=N4IgTCBcDaUCoBkDMSBsAGAwgMQIwA4BWARRAF0BfIA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tabSelected="1" workbookViewId="0">
      <selection activeCell="L18" sqref="L18"/>
    </sheetView>
  </sheetViews>
  <sheetFormatPr baseColWidth="8" defaultRowHeight="14.4"/>
  <cols>
    <col width="24.5546875" customWidth="1" style="5" min="2" max="2"/>
    <col width="22.6640625" bestFit="1" customWidth="1" style="5" min="4" max="4"/>
    <col width="20.77734375" bestFit="1" customWidth="1" style="5" min="5" max="5"/>
    <col width="27.33203125" bestFit="1" customWidth="1" style="5" min="6" max="6"/>
    <col width="5.88671875" customWidth="1" style="5" min="11" max="11"/>
    <col width="48" customWidth="1" style="5" min="12" max="12"/>
    <col width="33.109375" customWidth="1" style="5" min="13" max="13"/>
  </cols>
  <sheetData>
    <row r="1">
      <c r="A1" t="inlineStr">
        <is>
          <t>PartID</t>
        </is>
      </c>
      <c r="B1" t="inlineStr">
        <is>
          <t>Reference</t>
        </is>
      </c>
      <c r="C1" t="inlineStr">
        <is>
          <t>Qty</t>
        </is>
      </c>
      <c r="D1" t="inlineStr">
        <is>
          <t>Value</t>
        </is>
      </c>
      <c r="E1" t="inlineStr">
        <is>
          <t>Manufac PN</t>
        </is>
      </c>
      <c r="F1" t="inlineStr">
        <is>
          <t>Digikey PN</t>
        </is>
      </c>
      <c r="G1" t="inlineStr">
        <is>
          <t>Cost per</t>
        </is>
      </c>
      <c r="H1" t="inlineStr">
        <is>
          <t>Total Cost</t>
        </is>
      </c>
      <c r="I1" t="inlineStr">
        <is>
          <t>DNP</t>
        </is>
      </c>
      <c r="J1" t="inlineStr">
        <is>
          <t>Exclude from BOM</t>
        </is>
      </c>
      <c r="K1" t="inlineStr">
        <is>
          <t>Exclude from Board</t>
        </is>
      </c>
      <c r="L1" t="inlineStr">
        <is>
          <t>Footprint</t>
        </is>
      </c>
      <c r="M1" t="inlineStr">
        <is>
          <t>URL</t>
        </is>
      </c>
      <c r="N1" t="inlineStr">
        <is>
          <t>Datasheet</t>
        </is>
      </c>
    </row>
    <row r="2">
      <c r="A2" t="n">
        <v>1</v>
      </c>
      <c r="B2" t="inlineStr">
        <is>
          <t>C1,C3,C5,C6,C7,C12,C14,C19,C21,C23,C24,C25,C30,C32</t>
        </is>
      </c>
      <c r="C2" t="n">
        <v>14</v>
      </c>
      <c r="D2" t="inlineStr">
        <is>
          <t>100nf</t>
        </is>
      </c>
      <c r="E2" t="inlineStr">
        <is>
          <t>CL10E104KC8VPNC</t>
        </is>
      </c>
      <c r="F2" t="inlineStr">
        <is>
          <t>1276-CL10E104KC8VPNCCT-ND</t>
        </is>
      </c>
      <c r="G2" s="9" t="n">
        <v>0.156</v>
      </c>
      <c r="H2" s="9">
        <f>G2*C2</f>
        <v/>
      </c>
      <c r="L2" t="inlineStr">
        <is>
          <t>Capacitor_SMD:C_0603_1608Metric</t>
        </is>
      </c>
      <c r="M2" t="inlineStr">
        <is>
          <t>https://www.digikey.com/en/products/detail/samsung-electro-mechanics/CL10E104KC8VPNC/20498486</t>
        </is>
      </c>
      <c r="N2" t="inlineStr">
        <is>
          <t>https://mm.digikey.com/Volume0/opasdata/d220001/medias/docus/5458/CL10E104KC8VPNC_Spec.pdf</t>
        </is>
      </c>
    </row>
    <row r="3">
      <c r="A3" t="n">
        <v>2</v>
      </c>
      <c r="B3" t="inlineStr">
        <is>
          <t>C2,C20</t>
        </is>
      </c>
      <c r="C3" t="n">
        <v>2</v>
      </c>
      <c r="D3" t="inlineStr">
        <is>
          <t>22uf</t>
        </is>
      </c>
      <c r="E3" t="inlineStr">
        <is>
          <t>CL21X226MQQNNNG</t>
        </is>
      </c>
      <c r="F3" t="inlineStr">
        <is>
          <t>1276-6501-1-ND</t>
        </is>
      </c>
      <c r="G3" s="9" t="n">
        <v>0.14</v>
      </c>
      <c r="H3" s="9">
        <f>G3*C3</f>
        <v/>
      </c>
      <c r="L3" t="inlineStr">
        <is>
          <t>Capacitor_SMD:C_0805_2012Metric_Pad1.18x1.45mm_HandSolder</t>
        </is>
      </c>
      <c r="M3" t="inlineStr">
        <is>
          <t>https://www.digikey.com/en/products/detail/samsung-electro-mechanics/CL21X226MQQNNNG/3894649?s=N4IgTCBcDaIIxgOwDYC0yCsAGOrcDkAREAXQF8g</t>
        </is>
      </c>
      <c r="N3" t="inlineStr">
        <is>
          <t>https://www.samsungsem.com/resources/file/global/support/product_catalog/MLCC_2512.pdf</t>
        </is>
      </c>
    </row>
    <row r="4">
      <c r="A4" t="n">
        <v>3</v>
      </c>
      <c r="B4" t="inlineStr">
        <is>
          <t>C4,C22</t>
        </is>
      </c>
      <c r="C4" t="n">
        <v>2</v>
      </c>
      <c r="D4" t="inlineStr">
        <is>
          <t>.1uf</t>
        </is>
      </c>
      <c r="E4" t="inlineStr">
        <is>
          <t>CL21B104KBCNNNC</t>
        </is>
      </c>
      <c r="F4" t="inlineStr">
        <is>
          <t>1276-1003-1-ND</t>
        </is>
      </c>
      <c r="G4" s="9" t="n">
        <v>0.1</v>
      </c>
      <c r="H4" s="9">
        <f>G4*C4</f>
        <v/>
      </c>
      <c r="L4" t="inlineStr">
        <is>
          <t>Capacitor_SMD:C_0805_2012Metric_Pad1.18x1.45mm_HandSolder</t>
        </is>
      </c>
      <c r="M4" t="inlineStr">
        <is>
          <t>https://www.digikey.com/en/products/detail/samsung-electro-mechanics/CL21B104KBCNNNC/3886661?s=N4IgTCBcDaIIxgOwDYC0cAMGDM7UDkAREAXQF8g</t>
        </is>
      </c>
      <c r="N4" t="inlineStr">
        <is>
          <t>https://mm.digikey.com/Volume0/opasdata/d220001/medias/docus/609/CL21B104KBCNNN_Spec.pdf</t>
        </is>
      </c>
    </row>
    <row r="5">
      <c r="A5" t="n">
        <v>4</v>
      </c>
      <c r="B5" t="inlineStr">
        <is>
          <t>C8,C26</t>
        </is>
      </c>
      <c r="C5" t="n">
        <v>2</v>
      </c>
      <c r="D5" t="inlineStr">
        <is>
          <t>22uf</t>
        </is>
      </c>
      <c r="E5" t="inlineStr">
        <is>
          <t>CL10A226MP8NUNE</t>
        </is>
      </c>
      <c r="F5" t="inlineStr">
        <is>
          <t>1276-1274-1-ND</t>
        </is>
      </c>
      <c r="G5" s="9" t="n">
        <v>0.16</v>
      </c>
      <c r="H5" s="9">
        <f>G5*C5</f>
        <v/>
      </c>
      <c r="L5" t="inlineStr">
        <is>
          <t>Capacitor_SMD:C_0603_1608Metric</t>
        </is>
      </c>
      <c r="M5" s="3" t="inlineStr">
        <is>
          <t>https://www.digikey.com/en/products/result?keywords=CL10A226MP8NUNE</t>
        </is>
      </c>
      <c r="N5" t="inlineStr">
        <is>
          <t>https://mm.digikey.com/Volume0/opasdata/d220001/medias/docus/2901/CL10A226MP8NUNC_Spec.pdf</t>
        </is>
      </c>
    </row>
    <row r="6">
      <c r="A6" t="n">
        <v>5</v>
      </c>
      <c r="B6" t="inlineStr">
        <is>
          <t>C9,C15,C27,C33</t>
        </is>
      </c>
      <c r="C6" t="n">
        <v>4</v>
      </c>
      <c r="D6" t="inlineStr">
        <is>
          <t>.1uf</t>
        </is>
      </c>
      <c r="E6" t="inlineStr">
        <is>
          <t>C0603C104K3RACTU</t>
        </is>
      </c>
      <c r="F6" t="inlineStr">
        <is>
          <t>399-C0603C104K3RACTUCT-ND</t>
        </is>
      </c>
      <c r="G6" s="9" t="n">
        <v>0.1</v>
      </c>
      <c r="H6" s="9">
        <f>G6*C6</f>
        <v/>
      </c>
      <c r="L6" t="inlineStr">
        <is>
          <t>Capacitor_SMD:C_0603_1608Metric</t>
        </is>
      </c>
      <c r="M6" s="3" t="inlineStr">
        <is>
          <t>https://www.digikey.com/en/products/detail/samsung-electro-mechanics/CL10A226MP8NUNE/3886932</t>
        </is>
      </c>
      <c r="N6" t="inlineStr">
        <is>
          <t>https://yageogroup.com/content/datasheet/asset/file/KEM_C1002_X7R_SMD</t>
        </is>
      </c>
    </row>
    <row r="7">
      <c r="A7" t="n">
        <v>6</v>
      </c>
      <c r="B7" t="inlineStr">
        <is>
          <t>C10,C11,C13,C16,C17,C28,C29,C31,C34,C35</t>
        </is>
      </c>
      <c r="C7" t="n">
        <v>10</v>
      </c>
      <c r="D7" t="inlineStr">
        <is>
          <t>1uf</t>
        </is>
      </c>
      <c r="E7" t="inlineStr">
        <is>
          <t>C0603C105K4RACTU</t>
        </is>
      </c>
      <c r="F7" t="inlineStr">
        <is>
          <t>399-C0603C105K4RACTUCT-ND</t>
        </is>
      </c>
      <c r="G7" s="9" t="n">
        <v>0.054</v>
      </c>
      <c r="H7" s="9">
        <f>G7*C7</f>
        <v/>
      </c>
      <c r="L7" t="inlineStr">
        <is>
          <t>Capacitor_SMD:C_0603_1608Metric</t>
        </is>
      </c>
      <c r="M7" t="inlineStr">
        <is>
          <t>https://www.digikey.com/en/products/detail/kemet/C0603C105K4RACTU/2199788</t>
        </is>
      </c>
      <c r="N7" t="inlineStr">
        <is>
          <t>https://yageogroup.com/content/datasheet/asset/file/KEM_C1002_X7R_SMD</t>
        </is>
      </c>
    </row>
    <row r="8">
      <c r="A8" t="n">
        <v>7</v>
      </c>
      <c r="B8" t="inlineStr">
        <is>
          <t>C18,C36</t>
        </is>
      </c>
      <c r="C8" t="n">
        <v>2</v>
      </c>
      <c r="D8" t="inlineStr">
        <is>
          <t>10uf</t>
        </is>
      </c>
      <c r="E8" t="inlineStr">
        <is>
          <t>0603X106M100CT</t>
        </is>
      </c>
      <c r="F8" t="inlineStr">
        <is>
          <t>1292-0603X106M100CT-ND</t>
        </is>
      </c>
      <c r="G8" s="9" t="n">
        <v>0.1</v>
      </c>
      <c r="H8" s="9">
        <f>G8*C8</f>
        <v/>
      </c>
      <c r="L8" t="inlineStr">
        <is>
          <t>Capacitor_SMD:C_0603_1608Metric</t>
        </is>
      </c>
      <c r="M8" s="3" t="inlineStr">
        <is>
          <t>https://www.digikey.com/en/products/detail/walsin-technology-corporation/0603X106M100CT/15983159</t>
        </is>
      </c>
      <c r="N8" s="4" t="inlineStr">
        <is>
          <t>https://www.passivecomponent.com/wp-content/uploads/datasheet/WTC_MLCC_General_Purpose.pdf</t>
        </is>
      </c>
    </row>
    <row r="9">
      <c r="A9" s="8" t="n">
        <v>8</v>
      </c>
      <c r="B9" s="6" t="inlineStr">
        <is>
          <t>D1,D2,D3,D4,D5,D6</t>
        </is>
      </c>
      <c r="C9" s="6" t="n">
        <v>6</v>
      </c>
      <c r="D9" s="6" t="inlineStr">
        <is>
          <t>WS2812B-2020</t>
        </is>
      </c>
      <c r="E9" s="8" t="inlineStr">
        <is>
          <t>WS2812B-2020-V6</t>
        </is>
      </c>
      <c r="F9" s="6" t="inlineStr">
        <is>
          <t>C52917434</t>
        </is>
      </c>
      <c r="G9" s="10" t="n">
        <v>0.46</v>
      </c>
      <c r="H9" s="10">
        <f>G9*C9</f>
        <v/>
      </c>
      <c r="I9" s="6" t="n"/>
      <c r="J9" s="6" t="n"/>
      <c r="K9" s="6" t="n"/>
      <c r="L9" s="6" t="inlineStr">
        <is>
          <t>LED_SMD:LED_WS2812B-2020_PLCC4_2.0x2.0mm</t>
        </is>
      </c>
      <c r="M9" s="6" t="inlineStr">
        <is>
          <t>https://www.lcsc.com/product-detail/C52917434.html?s_z=n_q_t_WS2812B&amp;spm=wm.fly.bg.2.xh___wm.ssy.tc.1.tz&amp;lcsc_vid=QgIIUVNeFgRXAwBeTgRbBF1fTwQMAldUT1daBlIHTwMxVlNeQ1NfXlNTTlFdVjsOAxUeFF5JWBYZEEoKFBINSQcJGk4eFQsCAgIaSgADAwAHC0slRVlYVlZTRU8GEwkK</t>
        </is>
      </c>
      <c r="N9" t="inlineStr">
        <is>
          <t>https://www.lcsc.com/datasheet/C52917434.pdf?spm=wm.sxq.inf.ggs___wm.fly.bg.2.xh&amp;lcsc_vid=QgIIUVNeFgRXAwBeTgRbBF1fTwQMAldUT1daBlIHTwMxVlNeQ1NfXlNTTlFdVjsOAxUeFF5JWBYZEEoKFBINSQcJGk4eFQsCAgIaSgADAwAHC0slRVlYVlZTRU8GEwkK</t>
        </is>
      </c>
    </row>
    <row r="10">
      <c r="A10" t="n">
        <v>9</v>
      </c>
      <c r="B10" t="inlineStr">
        <is>
          <t>E1,E2</t>
        </is>
      </c>
      <c r="C10" t="n">
        <v>2</v>
      </c>
      <c r="D10" t="inlineStr">
        <is>
          <t>ANT-915-USP410</t>
        </is>
      </c>
      <c r="E10" t="inlineStr">
        <is>
          <t>ANT-915-USP410</t>
        </is>
      </c>
      <c r="F10" t="inlineStr">
        <is>
          <t>343-ANT-915-USP410CT-ND</t>
        </is>
      </c>
      <c r="G10" s="9" t="n">
        <v>1.25</v>
      </c>
      <c r="H10" s="9">
        <f>G10*C10</f>
        <v/>
      </c>
      <c r="L10" t="inlineStr">
        <is>
          <t>custom:XDCR_ANT-915-USP410</t>
        </is>
      </c>
      <c r="M10" t="inlineStr">
        <is>
          <t>https://www.digikey.com/en/products/detail/te-connectivity-linx/ANT-915-USP410/13165344</t>
        </is>
      </c>
      <c r="N10" t="inlineStr">
        <is>
          <t>https://www.te.com/commerce/DocumentDelivery/DDEController?Action=srchrtrv&amp;DocNm=ant-915-usp410-ds&amp;DocType=Data+Sheet&amp;DocLang=English&amp;DocFormat=pdf&amp;PartCntxt=ANT-915-USP410</t>
        </is>
      </c>
    </row>
    <row r="11">
      <c r="A11" s="6" t="n">
        <v>10</v>
      </c>
      <c r="B11" s="6" t="inlineStr">
        <is>
          <t>IC1,IC2</t>
        </is>
      </c>
      <c r="C11" s="6" t="n">
        <v>2</v>
      </c>
      <c r="D11" s="6" t="inlineStr">
        <is>
          <t>E22-900M22S</t>
        </is>
      </c>
      <c r="E11" s="6" t="inlineStr">
        <is>
          <t>E22-900M22S</t>
        </is>
      </c>
      <c r="F11" s="6" t="inlineStr">
        <is>
          <t>C411293</t>
        </is>
      </c>
      <c r="G11" s="10" t="n">
        <v>6.6</v>
      </c>
      <c r="H11" s="10">
        <f>G11*C11</f>
        <v/>
      </c>
      <c r="I11" s="6" t="n"/>
      <c r="J11" s="6" t="n"/>
      <c r="K11" s="6" t="n"/>
      <c r="L11" s="6" t="inlineStr">
        <is>
          <t>custom:E22-900M22S</t>
        </is>
      </c>
      <c r="M11" s="6" t="inlineStr">
        <is>
          <t>https://www.lcsc.com/product-detail/C411293.html</t>
        </is>
      </c>
      <c r="N11" s="6" t="inlineStr">
        <is>
          <t>https://www.lcsc.com/datasheet/C411293.pdf?spm=wm.sxq.inf.ggs&amp;lcsc_vid=QgIIUVNeFgRXAwBeTgRbBF1fTwQMAldUT1daBlIHTwMxVlNeQ1NfX1ZTRVhXVjsOAxUeFF5JWBYZEEoBGA4JCwFIFA4DSA%3D%3D</t>
        </is>
      </c>
    </row>
    <row r="12">
      <c r="A12" t="n">
        <v>11</v>
      </c>
      <c r="B12" t="inlineStr">
        <is>
          <t>J1,J3</t>
        </is>
      </c>
      <c r="C12" t="n">
        <v>2</v>
      </c>
      <c r="D12" t="inlineStr">
        <is>
          <t>USB4105-GF-A</t>
        </is>
      </c>
      <c r="E12" t="inlineStr">
        <is>
          <t>USB4105-GF-A</t>
        </is>
      </c>
      <c r="F12" t="inlineStr">
        <is>
          <t>2073-USB4105-GF-ACT-ND</t>
        </is>
      </c>
      <c r="G12" s="9" t="n">
        <v>0.8</v>
      </c>
      <c r="H12" s="9">
        <f>G12*C12</f>
        <v/>
      </c>
      <c r="L12" t="inlineStr">
        <is>
          <t>01-Custom:GCT_USB4105-GF-A</t>
        </is>
      </c>
      <c r="M12" t="inlineStr">
        <is>
          <t>https://www.digikey.com/en/products/detail/gct/USB4105-GF-A/11198441</t>
        </is>
      </c>
      <c r="N12" t="inlineStr">
        <is>
          <t>https://gct.co/files/specs/usb4105-spec.pdf</t>
        </is>
      </c>
    </row>
    <row r="13">
      <c r="A13" t="n">
        <v>12</v>
      </c>
      <c r="B13" t="inlineStr">
        <is>
          <t>J2,J4</t>
        </is>
      </c>
      <c r="C13" t="n">
        <v>2</v>
      </c>
      <c r="D13" t="inlineStr">
        <is>
          <t>S2B-PH-SM4-TB_LF__SN_</t>
        </is>
      </c>
      <c r="E13" t="inlineStr">
        <is>
          <t>S2B-PH-SM4-TB</t>
        </is>
      </c>
      <c r="F13" t="inlineStr">
        <is>
          <t>455-S2B-PH-SM4-TBCT-ND</t>
        </is>
      </c>
      <c r="G13" s="9" t="n">
        <v>0.49</v>
      </c>
      <c r="H13" s="9">
        <f>G13*C13</f>
        <v/>
      </c>
      <c r="L13" t="inlineStr">
        <is>
          <t>01-Custom:JST_S2B-PH-SM4-TB_LF__SN_</t>
        </is>
      </c>
      <c r="M13" s="3" t="inlineStr">
        <is>
          <t>https://www.digikey.com/en/products/detail/jst-sales-america-inc/S2B-PH-SM4-TB/926655?s=N4IgTCBcDaIMpgEIFoAKAJZcCyAWZAKogPoAyAYscXAHLEgC6AvkA</t>
        </is>
      </c>
      <c r="N13" t="inlineStr">
        <is>
          <t>https://www.jst-mfg.com/product/pdf/eng/ePH.pdf</t>
        </is>
      </c>
    </row>
    <row r="14">
      <c r="A14" t="n">
        <v>13</v>
      </c>
      <c r="B14" t="inlineStr">
        <is>
          <t>R1,R16</t>
        </is>
      </c>
      <c r="C14" t="n">
        <v>2</v>
      </c>
      <c r="D14" t="inlineStr">
        <is>
          <t>DNP</t>
        </is>
      </c>
      <c r="G14" s="9" t="n"/>
      <c r="H14" s="9">
        <f>G14*C14</f>
        <v/>
      </c>
      <c r="L14" t="inlineStr">
        <is>
          <t>Resistor_SMD:R_0805_2012Metric_Pad1.20x1.40mm_HandSolder</t>
        </is>
      </c>
      <c r="N14" t="inlineStr">
        <is>
          <t>~</t>
        </is>
      </c>
    </row>
    <row r="15">
      <c r="A15" t="n">
        <v>14</v>
      </c>
      <c r="B15" t="inlineStr">
        <is>
          <t>R2,R4,R8,R13,R14,R17,R19,R23,R28,R29</t>
        </is>
      </c>
      <c r="C15" t="n">
        <v>10</v>
      </c>
      <c r="D15" t="inlineStr">
        <is>
          <t>10K</t>
        </is>
      </c>
      <c r="E15" t="inlineStr">
        <is>
          <t>RC0603FR-0710KL</t>
        </is>
      </c>
      <c r="F15" t="inlineStr">
        <is>
          <t>311-10.0KHRCT-ND</t>
        </is>
      </c>
      <c r="G15" s="9" t="n">
        <v>0.025</v>
      </c>
      <c r="H15" s="9">
        <f>G15*C15</f>
        <v/>
      </c>
      <c r="L15" t="inlineStr">
        <is>
          <t>Resistor_SMD:R_0603_1608Metric</t>
        </is>
      </c>
      <c r="M15" t="inlineStr">
        <is>
          <t>https://www.digikey.com/en/products/detail/yageo/RC0603FR-0710KL/726880</t>
        </is>
      </c>
      <c r="N15" t="inlineStr">
        <is>
          <t>https://yageogroup.com/content/datasheet/asset/file/PYU-RC_GROUP_51_ROHS_L</t>
        </is>
      </c>
    </row>
    <row r="16">
      <c r="A16" t="n">
        <v>15</v>
      </c>
      <c r="B16" t="inlineStr">
        <is>
          <t>R3,R6,R7,R18,R21,R22</t>
        </is>
      </c>
      <c r="C16" t="n">
        <v>6</v>
      </c>
      <c r="D16" t="n">
        <v>330</v>
      </c>
      <c r="E16" t="inlineStr">
        <is>
          <t>RC0603FR-07330RL</t>
        </is>
      </c>
      <c r="F16" t="inlineStr">
        <is>
          <t>311-330HRCT-ND</t>
        </is>
      </c>
      <c r="G16" s="9" t="n">
        <v>0.1</v>
      </c>
      <c r="H16" s="9">
        <f>G16*C16</f>
        <v/>
      </c>
      <c r="L16" t="inlineStr">
        <is>
          <t>Resistor_SMD:R_0603_1608Metric</t>
        </is>
      </c>
      <c r="M16" t="inlineStr">
        <is>
          <t>https://www.digikey.com/en/products/detail/yageo/RC0603FR-07330RL/727162</t>
        </is>
      </c>
      <c r="N16" t="inlineStr">
        <is>
          <t>https://yageogroup.com/content/datasheet/asset/file/PYU-RC_GROUP_51_ROHS_L</t>
        </is>
      </c>
    </row>
    <row r="17">
      <c r="A17" t="n">
        <v>16</v>
      </c>
      <c r="B17" t="inlineStr">
        <is>
          <t>R5,R20</t>
        </is>
      </c>
      <c r="C17" t="n">
        <v>2</v>
      </c>
      <c r="D17" t="inlineStr">
        <is>
          <t>3352T-1-103LF</t>
        </is>
      </c>
      <c r="E17" t="inlineStr">
        <is>
          <t>3352T-1-103LF</t>
        </is>
      </c>
      <c r="F17" t="inlineStr">
        <is>
          <t>3352T-103LF-ND</t>
        </is>
      </c>
      <c r="G17" s="9" t="n">
        <v>3.24</v>
      </c>
      <c r="H17" s="9">
        <f>G17*C17</f>
        <v/>
      </c>
      <c r="L17" t="inlineStr">
        <is>
          <t>01-Custom:TRIM_3352T-1-103LF</t>
        </is>
      </c>
      <c r="M17" t="inlineStr">
        <is>
          <t>https://www.digikey.com/en/products/detail/bourns-inc/3352T-1-103LF/1088341?s=N4IgTCBcDaIMxwKxgCoFoCMmAMcAyAYiALoC%2BQA</t>
        </is>
      </c>
      <c r="N17" t="inlineStr">
        <is>
          <t>https://www.bourns.com/docs/Product-Datasheets/3352.pdf</t>
        </is>
      </c>
    </row>
    <row r="18">
      <c r="A18" t="n">
        <v>17</v>
      </c>
      <c r="B18" t="inlineStr">
        <is>
          <t>R9,R24</t>
        </is>
      </c>
      <c r="C18" t="n">
        <v>2</v>
      </c>
      <c r="D18" t="inlineStr">
        <is>
          <t>17.8K</t>
        </is>
      </c>
      <c r="E18" t="inlineStr">
        <is>
          <t>RK73H1JTTD1782F</t>
        </is>
      </c>
      <c r="F18" t="inlineStr">
        <is>
          <t>2019-RK73H1JTTD1782FCT-ND</t>
        </is>
      </c>
      <c r="G18" s="9" t="n">
        <v>0.1</v>
      </c>
      <c r="H18" s="9">
        <f>G18*C18</f>
        <v/>
      </c>
      <c r="L18" t="inlineStr">
        <is>
          <t>Resistor_SMD:R_0603_1608Metric</t>
        </is>
      </c>
      <c r="M18" t="inlineStr">
        <is>
          <t>https://www.digikey.com/en/products/detail/koa-speer-electronics-inc/RK73H1JTTD1782F/9845097</t>
        </is>
      </c>
      <c r="N18" t="inlineStr">
        <is>
          <t>https://www.koaspeer.com/pdfs/RK73H.pdf</t>
        </is>
      </c>
    </row>
    <row r="19">
      <c r="A19" t="n">
        <v>18</v>
      </c>
      <c r="B19" t="inlineStr">
        <is>
          <t>R10,R25</t>
        </is>
      </c>
      <c r="C19" t="n">
        <v>2</v>
      </c>
      <c r="D19" t="inlineStr">
        <is>
          <t>1.62K</t>
        </is>
      </c>
      <c r="E19" t="inlineStr">
        <is>
          <t>RC0603FR-071K62L</t>
        </is>
      </c>
      <c r="F19" t="inlineStr">
        <is>
          <t>311-1.62KHRCT-ND</t>
        </is>
      </c>
      <c r="G19" s="9" t="n">
        <v>0.1</v>
      </c>
      <c r="H19" s="9">
        <f>G19*C19</f>
        <v/>
      </c>
      <c r="L19" t="inlineStr">
        <is>
          <t>Resistor_SMD:R_0603_1608Metric</t>
        </is>
      </c>
      <c r="M19" t="inlineStr">
        <is>
          <t>https://www.digikey.com/en/products/detail/yageo/RC0603FR-071K62L/726869</t>
        </is>
      </c>
      <c r="N19" t="inlineStr">
        <is>
          <t>https://yageogroup.com/content/datasheet/asset/file/PYU-RC_GROUP_51_ROHS_L</t>
        </is>
      </c>
    </row>
    <row r="20">
      <c r="A20" t="n">
        <v>19</v>
      </c>
      <c r="B20" t="inlineStr">
        <is>
          <t>R11,R26</t>
        </is>
      </c>
      <c r="C20" t="n">
        <v>2</v>
      </c>
      <c r="D20" t="inlineStr">
        <is>
          <t>1.8K</t>
        </is>
      </c>
      <c r="E20" t="inlineStr">
        <is>
          <t>RMCF0603JT1K80</t>
        </is>
      </c>
      <c r="F20" t="inlineStr">
        <is>
          <t>RMCF0603JT1K80CT-ND</t>
        </is>
      </c>
      <c r="G20" s="9" t="n">
        <v>0.1</v>
      </c>
      <c r="H20" s="9">
        <f>G20*C20</f>
        <v/>
      </c>
      <c r="L20" t="inlineStr">
        <is>
          <t>Resistor_SMD:R_0603_1608Metric</t>
        </is>
      </c>
      <c r="M20" t="inlineStr">
        <is>
          <t>https://www.digikey.com/en/products/detail/stackpole-electronics-inc/RMCF0603JT1K80/1758097</t>
        </is>
      </c>
      <c r="N20" t="inlineStr">
        <is>
          <t>https://www.seielect.com/catalog/SEI-RMCF_RMCP.pdf</t>
        </is>
      </c>
    </row>
    <row r="21">
      <c r="A21" t="n">
        <v>20</v>
      </c>
      <c r="B21" t="inlineStr">
        <is>
          <t>R12,R15,R27,R30</t>
        </is>
      </c>
      <c r="C21" t="n">
        <v>4</v>
      </c>
      <c r="D21" t="inlineStr">
        <is>
          <t>5.1K</t>
        </is>
      </c>
      <c r="E21" t="inlineStr">
        <is>
          <t>RC0603FR-075K1L</t>
        </is>
      </c>
      <c r="F21" t="inlineStr">
        <is>
          <t>311-5.10KHRCT-ND</t>
        </is>
      </c>
      <c r="G21" s="9" t="n">
        <v>0.1</v>
      </c>
      <c r="H21" s="9">
        <f>G21*C21</f>
        <v/>
      </c>
      <c r="L21" t="inlineStr">
        <is>
          <t>Resistor_SMD:R_0603_1608Metric</t>
        </is>
      </c>
      <c r="M21" t="inlineStr">
        <is>
          <t>https://www.digikey.com/en/products/detail/yageo/RC0603FR-075K1L/727268</t>
        </is>
      </c>
      <c r="N21" t="inlineStr">
        <is>
          <t>https://yageogroup.com/content/datasheet/asset/file/PYU-RC_GROUP_51_ROHS_L</t>
        </is>
      </c>
    </row>
    <row r="22">
      <c r="A22" s="6" t="n">
        <v>21</v>
      </c>
      <c r="B22" s="6" t="inlineStr">
        <is>
          <t>S1,S2</t>
        </is>
      </c>
      <c r="C22" s="6" t="n">
        <v>2</v>
      </c>
      <c r="D22" s="6" t="inlineStr">
        <is>
          <t>RKJXV122400R</t>
        </is>
      </c>
      <c r="E22" s="6" t="inlineStr">
        <is>
          <t>RKJXV122400R</t>
        </is>
      </c>
      <c r="F22" s="6" t="inlineStr">
        <is>
          <t>C918854</t>
        </is>
      </c>
      <c r="G22" s="10" t="n">
        <v>1.31</v>
      </c>
      <c r="H22" s="10">
        <f>G22*C22</f>
        <v/>
      </c>
      <c r="I22" s="6" t="n"/>
      <c r="J22" s="6" t="n"/>
      <c r="K22" s="6" t="n"/>
      <c r="L22" s="6" t="inlineStr">
        <is>
          <t>01-Custom:RKJXV122400R</t>
        </is>
      </c>
      <c r="M22" s="6" t="inlineStr">
        <is>
          <t>https://www.lcsc.com/product-detail/C918854.html?s_z=n_q_x_RKJXV122400R&amp;spm=wm.ssy.em.0.tz&amp;lcsc_vid=QgIIUVNeFgRXAwBeTgRbBF1fTwQMAldUT1daBlIHTwMxVlNeQ1NfXlZVQVhdVDsOAxUeFF5JWBYZEEoKFBINSQcJGk4eFQsCAgIaSgADAwAHC0slTldbUlFTWQkaCgg%3D</t>
        </is>
      </c>
      <c r="N22" s="6" t="inlineStr">
        <is>
          <t>https://tech.alpsalpine.com/prod/e/html/multicontrol/potentiometer/rkjxk/rkjxv122400r.html</t>
        </is>
      </c>
    </row>
    <row r="23">
      <c r="A23" t="n">
        <v>22</v>
      </c>
      <c r="B23" t="inlineStr">
        <is>
          <t>SW1,SW2,SW3,SW4,SW5,SW6,SW7,SW8,SW12,SW13,SW14,SW15,SW16,SW17,SW18,SW19</t>
        </is>
      </c>
      <c r="C23" t="n">
        <v>16</v>
      </c>
      <c r="D23" t="inlineStr">
        <is>
          <t>SW_Push</t>
        </is>
      </c>
      <c r="E23" t="inlineStr">
        <is>
          <t>TL3360CF185Q</t>
        </is>
      </c>
      <c r="F23" t="inlineStr">
        <is>
          <t>EG5358CT-ND</t>
        </is>
      </c>
      <c r="G23" s="9" t="n">
        <v>1.51</v>
      </c>
      <c r="H23" s="9">
        <f>G23*C23</f>
        <v/>
      </c>
      <c r="L23" t="inlineStr">
        <is>
          <t>01-Custom:TL3360CF185Q</t>
        </is>
      </c>
      <c r="M23" s="3" t="inlineStr">
        <is>
          <t>https://www.digikey.com/en/products/detail/e-switch/TL3360CF185Q/5816189?s=N4IgTCBcDaUCoBkDMSBsAGAwgMQIwA4BWARRAF0BfIA</t>
        </is>
      </c>
      <c r="N23" t="inlineStr">
        <is>
          <t>https://configured-product-images.s3.amazonaws.com/Datasheets/TL3360.pdf</t>
        </is>
      </c>
    </row>
    <row r="24">
      <c r="A24" t="n">
        <v>23</v>
      </c>
      <c r="B24" t="inlineStr">
        <is>
          <t>SW9,SW20</t>
        </is>
      </c>
      <c r="C24" t="n">
        <v>2</v>
      </c>
      <c r="D24" t="inlineStr">
        <is>
          <t>Reset</t>
        </is>
      </c>
      <c r="E24" t="inlineStr">
        <is>
          <t>TL3342F260QG</t>
        </is>
      </c>
      <c r="F24" t="inlineStr">
        <is>
          <t>EG5470CT-ND</t>
        </is>
      </c>
      <c r="G24" s="9" t="n">
        <v>0.59</v>
      </c>
      <c r="H24" s="9">
        <f>G24*C24</f>
        <v/>
      </c>
      <c r="L24" t="inlineStr">
        <is>
          <t>Button_Switch_SMD:SW_SPST_TL3342</t>
        </is>
      </c>
      <c r="M24" t="inlineStr">
        <is>
          <t>https://www.digikey.com/en/products/detail/e-switch/TL3342F260QG/4029402</t>
        </is>
      </c>
      <c r="N24" t="inlineStr">
        <is>
          <t>https://configured-product-images.s3.amazonaws.com/Datasheets/TL3342.pdf</t>
        </is>
      </c>
    </row>
    <row r="25">
      <c r="A25" t="n">
        <v>24</v>
      </c>
      <c r="B25" t="inlineStr">
        <is>
          <t>SW10,SW21</t>
        </is>
      </c>
      <c r="C25" t="n">
        <v>2</v>
      </c>
      <c r="D25" t="inlineStr">
        <is>
          <t>Boot</t>
        </is>
      </c>
      <c r="E25" t="inlineStr">
        <is>
          <t>TL3342F260QG</t>
        </is>
      </c>
      <c r="F25" t="inlineStr">
        <is>
          <t>EG5470CT-ND</t>
        </is>
      </c>
      <c r="G25" s="9" t="n">
        <v>0.59</v>
      </c>
      <c r="H25" s="9">
        <f>G25*C25</f>
        <v/>
      </c>
      <c r="L25" t="inlineStr">
        <is>
          <t>Button_Switch_SMD:SW_SPST_TL3342</t>
        </is>
      </c>
      <c r="M25" t="inlineStr">
        <is>
          <t>https://www.digikey.com/en/products/detail/e-switch/TL3342F260QG/4029402</t>
        </is>
      </c>
      <c r="N25" t="inlineStr">
        <is>
          <t>https://configured-product-images.s3.amazonaws.com/Datasheets/TL3342.pdf</t>
        </is>
      </c>
    </row>
    <row r="26">
      <c r="A26" t="n">
        <v>25</v>
      </c>
      <c r="B26" t="inlineStr">
        <is>
          <t>SW11,SW22</t>
        </is>
      </c>
      <c r="C26" t="n">
        <v>2</v>
      </c>
      <c r="D26" t="inlineStr">
        <is>
          <t>PCM12SMTR</t>
        </is>
      </c>
      <c r="E26" t="inlineStr">
        <is>
          <t>PCM12SMTR</t>
        </is>
      </c>
      <c r="F26" t="inlineStr">
        <is>
          <t>401-2016-1-ND</t>
        </is>
      </c>
      <c r="G26" s="9" t="n">
        <v>1.28</v>
      </c>
      <c r="H26" s="9">
        <f>G26*C26</f>
        <v/>
      </c>
      <c r="L26" t="inlineStr">
        <is>
          <t>01-Custom:SW_PCM12SMTR</t>
        </is>
      </c>
      <c r="M26" t="inlineStr">
        <is>
          <t>https://www.digikey.com/en/products/detail/c-k/PCM12SMTR/1640112</t>
        </is>
      </c>
      <c r="N26" t="inlineStr">
        <is>
          <t>https://www.littelfuse.com/assetdocs/littelfuse-c-k-slide-pcm-series-datasheet?assetguid=d2f6a96c-7a9a-4c4e-a5aa-4fe3075dffe5</t>
        </is>
      </c>
    </row>
    <row r="27">
      <c r="A27" t="n">
        <v>26</v>
      </c>
      <c r="B27" t="inlineStr">
        <is>
          <t>U1,U5</t>
        </is>
      </c>
      <c r="C27" t="n">
        <v>2</v>
      </c>
      <c r="D27" t="inlineStr">
        <is>
          <t>AP2112K-3.3</t>
        </is>
      </c>
      <c r="E27" t="inlineStr">
        <is>
          <t>AP2112K-3.3TRG1</t>
        </is>
      </c>
      <c r="F27" t="inlineStr">
        <is>
          <t>AP2112K-3.3TRG1DICT-ND</t>
        </is>
      </c>
      <c r="G27" s="9" t="n">
        <v>0.25</v>
      </c>
      <c r="H27" s="9">
        <f>G27*C27</f>
        <v/>
      </c>
      <c r="L27" t="inlineStr">
        <is>
          <t>Package_TO_SOT_SMD:SOT-23-5</t>
        </is>
      </c>
      <c r="M27" t="inlineStr">
        <is>
          <t>https://www.digikey.com/en/products/detail/diodes-incorporated/AP2112K-3-3TRG1/4470746?s=N4IgTCBcDaIIIAUwEZlgNIFoDMA6bIAugL5A</t>
        </is>
      </c>
      <c r="N27" t="inlineStr">
        <is>
          <t>https://www.diodes.com/assets/Datasheets/AP2112.pdf</t>
        </is>
      </c>
    </row>
    <row r="28">
      <c r="A28" t="n">
        <v>27</v>
      </c>
      <c r="B28" t="inlineStr">
        <is>
          <t>U2,U6</t>
        </is>
      </c>
      <c r="C28" t="n">
        <v>2</v>
      </c>
      <c r="D28" t="inlineStr">
        <is>
          <t>ESP32-S3-MINI-1</t>
        </is>
      </c>
      <c r="E28" t="inlineStr">
        <is>
          <t>ESP32-S3-MINI-1-N8</t>
        </is>
      </c>
      <c r="F28" t="inlineStr">
        <is>
          <t>5407-ESP32-S3-MINI-1-N8CT-ND</t>
        </is>
      </c>
      <c r="G28" s="9" t="n">
        <v>5.43</v>
      </c>
      <c r="H28" s="9">
        <f>G28*C28</f>
        <v/>
      </c>
      <c r="L28" t="inlineStr">
        <is>
          <t>01-Custom:ESP32-S2-MINI-1</t>
        </is>
      </c>
      <c r="M28" t="inlineStr">
        <is>
          <t>https://www.digikey.com/en/products/detail/espressif-systems/ESP32-S3-MINI-1-N8/15295890</t>
        </is>
      </c>
      <c r="N28" t="inlineStr">
        <is>
          <t>https://www.espressif.com/sites/default/files/documentation/esp32-s3-mini-1_mini-1u_datasheet_en.pdf</t>
        </is>
      </c>
    </row>
    <row r="29">
      <c r="A29" s="6" t="n">
        <v>28</v>
      </c>
      <c r="B29" s="6" t="inlineStr">
        <is>
          <t>U3,U7</t>
        </is>
      </c>
      <c r="C29" s="6" t="n">
        <v>2</v>
      </c>
      <c r="D29" s="6" t="inlineStr">
        <is>
          <t>BQ24074RGT</t>
        </is>
      </c>
      <c r="E29" s="8" t="inlineStr">
        <is>
          <t>BQ24074RGTT</t>
        </is>
      </c>
      <c r="F29" s="6" t="inlineStr">
        <is>
          <t>C2861252</t>
        </is>
      </c>
      <c r="G29" s="10" t="n">
        <v>3.09</v>
      </c>
      <c r="H29" s="10">
        <f>G29*C29</f>
        <v/>
      </c>
      <c r="I29" s="6" t="n"/>
      <c r="J29" s="6" t="n"/>
      <c r="K29" s="6" t="n"/>
      <c r="L29" s="6" t="inlineStr">
        <is>
          <t>Package_DFN_QFN:VQFN-16-1EP_3x3mm_P0.5mm_EP1.6x1.6mm</t>
        </is>
      </c>
      <c r="M29" s="6" t="inlineStr">
        <is>
          <t>https://www.lcsc.com/product-detail/C2861252.html?s_z=n_q_BQ24074RGT&amp;spm=wm.fly.bg.1.xh&amp;lcsc_vid=QgIIUVNeFgRXAwBeTgRbBF1fTwQMAldUT1daBlIHTwMxVlNeQ1NfXlFVTlBfUTsOAxUeFF5JWBYZEEoKFBINSQcJGk4NBhADEA4cHktTQVFADxALGw%3D%3D</t>
        </is>
      </c>
      <c r="N29" s="6" t="inlineStr">
        <is>
          <t>http://www.ti.com/lit/ds/symlink/bq24074.pdf</t>
        </is>
      </c>
    </row>
    <row r="30">
      <c r="A30" t="n">
        <v>29</v>
      </c>
      <c r="B30" t="inlineStr">
        <is>
          <t>U4,U8</t>
        </is>
      </c>
      <c r="C30" t="n">
        <v>2</v>
      </c>
      <c r="D30" t="inlineStr">
        <is>
          <t>USBLC6-2SC6</t>
        </is>
      </c>
      <c r="E30" t="inlineStr">
        <is>
          <t>USBLC6-2SC6</t>
        </is>
      </c>
      <c r="F30" t="inlineStr">
        <is>
          <t>497-5235-1-ND</t>
        </is>
      </c>
      <c r="G30" s="9" t="n">
        <v>0.54</v>
      </c>
      <c r="H30" s="9">
        <f>G30*C30</f>
        <v/>
      </c>
      <c r="L30" t="inlineStr">
        <is>
          <t>Package_TO_SOT_SMD:SOT-23-6</t>
        </is>
      </c>
      <c r="M30" t="inlineStr">
        <is>
          <t>https://www.digikey.com/en/products/detail/stmicroelectronics/USBLC6-2SC6/1040559</t>
        </is>
      </c>
      <c r="N30" t="inlineStr">
        <is>
          <t>https://www.st.com/resource/en/datasheet/usblc6-2.pdf</t>
        </is>
      </c>
    </row>
    <row r="31">
      <c r="H31" s="11">
        <f>SUM(H2:H30)</f>
        <v/>
      </c>
    </row>
  </sheetData>
  <hyperlinks>
    <hyperlink xmlns:r="http://schemas.openxmlformats.org/officeDocument/2006/relationships" ref="M5" r:id="rId1"/>
    <hyperlink xmlns:r="http://schemas.openxmlformats.org/officeDocument/2006/relationships" ref="M8" r:id="rId2"/>
    <hyperlink xmlns:r="http://schemas.openxmlformats.org/officeDocument/2006/relationships" ref="M13" r:id="rId3"/>
    <hyperlink xmlns:r="http://schemas.openxmlformats.org/officeDocument/2006/relationships" ref="M23" r:id="rId4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Gregory Hulette</dc:creator>
  <dcterms:created xmlns:dcterms="http://purl.org/dc/terms/" xmlns:xsi="http://www.w3.org/2001/XMLSchema-instance" xsi:type="dcterms:W3CDTF">2026-07-16T16:35:06Z</dcterms:created>
  <dcterms:modified xmlns:dcterms="http://purl.org/dc/terms/" xmlns:xsi="http://www.w3.org/2001/XMLSchema-instance" xsi:type="dcterms:W3CDTF">2026-07-16T18:32:46Z</dcterms:modified>
  <cp:lastModifiedBy>Gregory Hulette</cp:lastModifiedBy>
</cp:coreProperties>
</file>