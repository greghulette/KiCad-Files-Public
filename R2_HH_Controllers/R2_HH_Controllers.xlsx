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hulette\Documents\GitHub\KiCad-Files-Public\R2_HH_Controllers\"/>
    </mc:Choice>
  </mc:AlternateContent>
  <xr:revisionPtr revIDLastSave="0" documentId="13_ncr:1_{C765691B-FB7C-43AE-AAB9-3583E141F0CB}" xr6:coauthVersionLast="47" xr6:coauthVersionMax="47" xr10:uidLastSave="{00000000-0000-0000-0000-000000000000}"/>
  <bookViews>
    <workbookView xWindow="11850" yWindow="-21600" windowWidth="17280" windowHeight="8880" activeTab="1" xr2:uid="{00000000-000D-0000-FFFF-FFFF00000000}"/>
  </bookViews>
  <sheets>
    <sheet name="R2_HH_Controller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B6" i="2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31" i="1" s="1"/>
  <c r="H4" i="1"/>
  <c r="H3" i="1"/>
  <c r="H2" i="1"/>
</calcChain>
</file>

<file path=xl/sharedStrings.xml><?xml version="1.0" encoding="utf-8"?>
<sst xmlns="http://schemas.openxmlformats.org/spreadsheetml/2006/main" count="223" uniqueCount="193">
  <si>
    <t>PartID</t>
  </si>
  <si>
    <t>Reference</t>
  </si>
  <si>
    <t>Qty</t>
  </si>
  <si>
    <t>Value</t>
  </si>
  <si>
    <t>Manufac PN</t>
  </si>
  <si>
    <t>Digikey PN</t>
  </si>
  <si>
    <t>Cost per</t>
  </si>
  <si>
    <t>Total Cost</t>
  </si>
  <si>
    <t>DNP</t>
  </si>
  <si>
    <t>Exclude from BOM</t>
  </si>
  <si>
    <t>Exclude from Board</t>
  </si>
  <si>
    <t>Footprint</t>
  </si>
  <si>
    <t>URL</t>
  </si>
  <si>
    <t>Datasheet</t>
  </si>
  <si>
    <t>C1,C3,C5,C6,C7,C12,C14,C19,C21,C23,C24,C25,C30,C32</t>
  </si>
  <si>
    <t>100nf</t>
  </si>
  <si>
    <t>CL10E104KC8VPNC</t>
  </si>
  <si>
    <t>1276-CL10E104KC8VPNCCT-ND</t>
  </si>
  <si>
    <t>Capacitor_SMD:C_0603_1608Metric</t>
  </si>
  <si>
    <t>https://www.digikey.com/en/products/detail/samsung-electro-mechanics/CL10E104KC8VPNC/20498486</t>
  </si>
  <si>
    <t>https://mm.digikey.com/Volume0/opasdata/d220001/medias/docus/5458/CL10E104KC8VPNC_Spec.pdf</t>
  </si>
  <si>
    <t>C2,C20</t>
  </si>
  <si>
    <t>22uf</t>
  </si>
  <si>
    <t>CL21X226MQQNNNG</t>
  </si>
  <si>
    <t>1276-6501-1-ND</t>
  </si>
  <si>
    <t>Capacitor_SMD:C_0805_2012Metric_Pad1.18x1.45mm_HandSolder</t>
  </si>
  <si>
    <t>https://www.digikey.com/en/products/detail/samsung-electro-mechanics/CL21X226MQQNNNG/3894649?s=N4IgTCBcDaIIxgOwDYC0yCsAGOrcDkAREAXQF8g</t>
  </si>
  <si>
    <t>https://www.samsungsem.com/resources/file/global/support/product_catalog/MLCC_2512.pdf</t>
  </si>
  <si>
    <t>C4,C22</t>
  </si>
  <si>
    <t>.1uf</t>
  </si>
  <si>
    <t>CL21B104KBCNNNC</t>
  </si>
  <si>
    <t>1276-1003-1-ND</t>
  </si>
  <si>
    <t>https://www.digikey.com/en/products/detail/samsung-electro-mechanics/CL21B104KBCNNNC/3886661?s=N4IgTCBcDaIIxgOwDYC0cAMGDM7UDkAREAXQF8g</t>
  </si>
  <si>
    <t>https://mm.digikey.com/Volume0/opasdata/d220001/medias/docus/609/CL21B104KBCNNN_Spec.pdf</t>
  </si>
  <si>
    <t>C8,C26</t>
  </si>
  <si>
    <t>https://www.digikey.com/en/products/result?keywords=CL10A226MP8NUNE</t>
  </si>
  <si>
    <t>https://mm.digikey.com/Volume0/opasdata/d220001/medias/docus/2901/CL10A226MP8NUNC_Spec.pdf</t>
  </si>
  <si>
    <t>C9,C15,C27,C33</t>
  </si>
  <si>
    <t>C0603C104K3RACTU</t>
  </si>
  <si>
    <t>399-C0603C104K3RACTUCT-ND</t>
  </si>
  <si>
    <t>https://yageogroup.com/content/datasheet/asset/file/KEM_C1002_X7R_SMD</t>
  </si>
  <si>
    <t>C10,C11,C13,C16,C17,C28,C29,C31,C34,C35</t>
  </si>
  <si>
    <t>1uf</t>
  </si>
  <si>
    <t>C0603C105K4RACTU</t>
  </si>
  <si>
    <t>399-C0603C105K4RACTUCT-ND</t>
  </si>
  <si>
    <t>https://www.digikey.com/en/products/detail/kemet/C0603C105K4RACTU/2199788</t>
  </si>
  <si>
    <t>C18,C36</t>
  </si>
  <si>
    <t>10uf</t>
  </si>
  <si>
    <t>https://www.passivecomponent.com/wp-content/uploads/datasheet/WTC_MLCC_General_Purpose.pdf</t>
  </si>
  <si>
    <t>D1,D2,D3,D4,D5,D6</t>
  </si>
  <si>
    <t>WS2812B-2020</t>
  </si>
  <si>
    <t>WS2812B-2020-V6</t>
  </si>
  <si>
    <t>C52917434</t>
  </si>
  <si>
    <t>LED_SMD:LED_WS2812B-2020_PLCC4_2.0x2.0mm</t>
  </si>
  <si>
    <t>https://www.lcsc.com/product-detail/C52917434.html?s_z=n_q_t_WS2812B&amp;spm=wm.fly.bg.2.xh___wm.ssy.tc.1.tz&amp;lcsc_vid=QgIIUVNeFgRXAwBeTgRbBF1fTwQMAldUT1daBlIHTwMxVlNeQ1NfXlNTTlFdVjsOAxUeFF5JWBYZEEoKFBINSQcJGk4eFQsCAgIaSgADAwAHC0slRVlYVlZTRU8GEwkK</t>
  </si>
  <si>
    <t>https://www.lcsc.com/datasheet/C52917434.pdf?spm=wm.sxq.inf.ggs___wm.fly.bg.2.xh&amp;lcsc_vid=QgIIUVNeFgRXAwBeTgRbBF1fTwQMAldUT1daBlIHTwMxVlNeQ1NfXlNTTlFdVjsOAxUeFF5JWBYZEEoKFBINSQcJGk4eFQsCAgIaSgADAwAHC0slRVlYVlZTRU8GEwkK</t>
  </si>
  <si>
    <t>E1,E2</t>
  </si>
  <si>
    <t>ANT-915-USP410</t>
  </si>
  <si>
    <t>343-ANT-915-USP410CT-ND</t>
  </si>
  <si>
    <t>custom:XDCR_ANT-915-USP410</t>
  </si>
  <si>
    <t>https://www.digikey.com/en/products/detail/te-connectivity-linx/ANT-915-USP410/13165344</t>
  </si>
  <si>
    <t>https://www.te.com/commerce/DocumentDelivery/DDEController?Action=srchrtrv&amp;DocNm=ant-915-usp410-ds&amp;DocType=Data+Sheet&amp;DocLang=English&amp;DocFormat=pdf&amp;PartCntxt=ANT-915-USP410</t>
  </si>
  <si>
    <t>IC1,IC2</t>
  </si>
  <si>
    <t>E22-900M22S</t>
  </si>
  <si>
    <t>C411293</t>
  </si>
  <si>
    <t>custom:E22-900M22S</t>
  </si>
  <si>
    <t>https://www.lcsc.com/product-detail/C411293.html</t>
  </si>
  <si>
    <t>https://www.lcsc.com/datasheet/C411293.pdf?spm=wm.sxq.inf.ggs&amp;lcsc_vid=QgIIUVNeFgRXAwBeTgRbBF1fTwQMAldUT1daBlIHTwMxVlNeQ1NfX1ZTRVhXVjsOAxUeFF5JWBYZEEoBGA4JCwFIFA4DSA%3D%3D</t>
  </si>
  <si>
    <t>J1,J3</t>
  </si>
  <si>
    <t>USB4105-GF-A</t>
  </si>
  <si>
    <t>2073-USB4105-GF-ACT-ND</t>
  </si>
  <si>
    <t>01-Custom:GCT_USB4105-GF-A</t>
  </si>
  <si>
    <t>https://www.digikey.com/en/products/detail/gct/USB4105-GF-A/11198441</t>
  </si>
  <si>
    <t>https://gct.co/files/specs/usb4105-spec.pdf</t>
  </si>
  <si>
    <t>J2,J4</t>
  </si>
  <si>
    <t>S2B-PH-SM4-TB_LF__SN_</t>
  </si>
  <si>
    <t>S2B-PH-SM4-TB</t>
  </si>
  <si>
    <t>455-S2B-PH-SM4-TBCT-ND</t>
  </si>
  <si>
    <t>01-Custom:JST_S2B-PH-SM4-TB_LF__SN_</t>
  </si>
  <si>
    <t>https://www.digikey.com/en/products/detail/jst-sales-america-inc/S2B-PH-SM4-TB/926655?s=N4IgTCBcDaIMpgEIFoAKAJZcCyAWZAKogPoAyAYscXAHLEgC6AvkA</t>
  </si>
  <si>
    <t>https://www.jst-mfg.com/product/pdf/eng/ePH.pdf</t>
  </si>
  <si>
    <t>R1,R16</t>
  </si>
  <si>
    <t>Resistor_SMD:R_0805_2012Metric_Pad1.20x1.40mm_HandSolder</t>
  </si>
  <si>
    <t>~</t>
  </si>
  <si>
    <t>R2,R4,R8,R13,R14,R17,R19,R23,R28,R29</t>
  </si>
  <si>
    <t>10K</t>
  </si>
  <si>
    <t>RC0603FR-0710KL</t>
  </si>
  <si>
    <t>311-10.0KHRCT-ND</t>
  </si>
  <si>
    <t>Resistor_SMD:R_0603_1608Metric</t>
  </si>
  <si>
    <t>https://www.digikey.com/en/products/detail/yageo/RC0603FR-0710KL/726880</t>
  </si>
  <si>
    <t>https://yageogroup.com/content/datasheet/asset/file/PYU-RC_GROUP_51_ROHS_L</t>
  </si>
  <si>
    <t>R3,R6,R7,R18,R21,R22</t>
  </si>
  <si>
    <t>RC0603FR-07330RL</t>
  </si>
  <si>
    <t>311-330HRCT-ND</t>
  </si>
  <si>
    <t>https://www.digikey.com/en/products/detail/yageo/RC0603FR-07330RL/727162</t>
  </si>
  <si>
    <t>R5,R20</t>
  </si>
  <si>
    <t>3352T-1-103LF</t>
  </si>
  <si>
    <t>3352T-103LF-ND</t>
  </si>
  <si>
    <t>01-Custom:TRIM_3352T-1-103LF</t>
  </si>
  <si>
    <t>https://www.digikey.com/en/products/detail/bourns-inc/3352T-1-103LF/1088341?s=N4IgTCBcDaIMxwKxgCoFoCMmAMcAyAYiALoC%2BQA</t>
  </si>
  <si>
    <t>https://www.bourns.com/docs/Product-Datasheets/3352.pdf</t>
  </si>
  <si>
    <t>R9,R24</t>
  </si>
  <si>
    <t>17.8K</t>
  </si>
  <si>
    <t>RK73H1JTTD1782F</t>
  </si>
  <si>
    <t>2019-RK73H1JTTD1782FCT-ND</t>
  </si>
  <si>
    <t>https://www.digikey.com/en/products/detail/koa-speer-electronics-inc/RK73H1JTTD1782F/9845097</t>
  </si>
  <si>
    <t>https://www.koaspeer.com/pdfs/RK73H.pdf</t>
  </si>
  <si>
    <t>R10,R25</t>
  </si>
  <si>
    <t>1.62K</t>
  </si>
  <si>
    <t>RC0603FR-071K62L</t>
  </si>
  <si>
    <t>311-1.62KHRCT-ND</t>
  </si>
  <si>
    <t>https://www.digikey.com/en/products/detail/yageo/RC0603FR-071K62L/726869</t>
  </si>
  <si>
    <t>R11,R26</t>
  </si>
  <si>
    <t>1.8K</t>
  </si>
  <si>
    <t>RMCF0603JT1K80</t>
  </si>
  <si>
    <t>RMCF0603JT1K80CT-ND</t>
  </si>
  <si>
    <t>https://www.digikey.com/en/products/detail/stackpole-electronics-inc/RMCF0603JT1K80/1758097</t>
  </si>
  <si>
    <t>https://www.seielect.com/catalog/SEI-RMCF_RMCP.pdf</t>
  </si>
  <si>
    <t>R12,R15,R27,R30</t>
  </si>
  <si>
    <t>5.1K</t>
  </si>
  <si>
    <t>RC0603FR-075K1L</t>
  </si>
  <si>
    <t>311-5.10KHRCT-ND</t>
  </si>
  <si>
    <t>https://www.digikey.com/en/products/detail/yageo/RC0603FR-075K1L/727268</t>
  </si>
  <si>
    <t>S1,S2</t>
  </si>
  <si>
    <t>RKJXV122400R</t>
  </si>
  <si>
    <t>C918854</t>
  </si>
  <si>
    <t>01-Custom:RKJXV122400R</t>
  </si>
  <si>
    <t>https://www.lcsc.com/product-detail/C918854.html?s_z=n_q_x_RKJXV122400R&amp;spm=wm.ssy.em.0.tz&amp;lcsc_vid=QgIIUVNeFgRXAwBeTgRbBF1fTwQMAldUT1daBlIHTwMxVlNeQ1NfXlZVQVhdVDsOAxUeFF5JWBYZEEoKFBINSQcJGk4eFQsCAgIaSgADAwAHC0slTldbUlFTWQkaCgg%3D</t>
  </si>
  <si>
    <t>https://tech.alpsalpine.com/prod/e/html/multicontrol/potentiometer/rkjxk/rkjxv122400r.html</t>
  </si>
  <si>
    <t>SW1,SW2,SW3,SW4,SW5,SW6,SW7,SW8,SW12,SW13,SW14,SW15,SW16,SW17,SW18,SW19</t>
  </si>
  <si>
    <t>SW_Push</t>
  </si>
  <si>
    <t>TL3360CF185Q</t>
  </si>
  <si>
    <t>EG5358CT-ND</t>
  </si>
  <si>
    <t>01-Custom:TL3360CF185Q</t>
  </si>
  <si>
    <t>https://www.digikey.com/en/products/detail/e-switch/TL3360CF185Q/5816189?s=N4IgTCBcDaUCoBkDMSBsAGAwgMQIwA4BWARRAF0BfIA</t>
  </si>
  <si>
    <t>https://configured-product-images.s3.amazonaws.com/Datasheets/TL3360.pdf</t>
  </si>
  <si>
    <t>SW9,SW20</t>
  </si>
  <si>
    <t>Reset</t>
  </si>
  <si>
    <t>TL3342F260QG</t>
  </si>
  <si>
    <t>EG5470CT-ND</t>
  </si>
  <si>
    <t>Button_Switch_SMD:SW_SPST_TL3342</t>
  </si>
  <si>
    <t>https://www.digikey.com/en/products/detail/e-switch/TL3342F260QG/4029402</t>
  </si>
  <si>
    <t>https://configured-product-images.s3.amazonaws.com/Datasheets/TL3342.pdf</t>
  </si>
  <si>
    <t>SW10,SW21</t>
  </si>
  <si>
    <t>Boot</t>
  </si>
  <si>
    <t>SW11,SW22</t>
  </si>
  <si>
    <t>PCM12SMTR</t>
  </si>
  <si>
    <t>401-2016-1-ND</t>
  </si>
  <si>
    <t>01-Custom:SW_PCM12SMTR</t>
  </si>
  <si>
    <t>https://www.digikey.com/en/products/detail/c-k/PCM12SMTR/1640112</t>
  </si>
  <si>
    <t>https://www.littelfuse.com/assetdocs/littelfuse-c-k-slide-pcm-series-datasheet?assetguid=d2f6a96c-7a9a-4c4e-a5aa-4fe3075dffe5</t>
  </si>
  <si>
    <t>U1,U5</t>
  </si>
  <si>
    <t>AP2112K-3.3</t>
  </si>
  <si>
    <t>AP2112K-3.3TRG1</t>
  </si>
  <si>
    <t>AP2112K-3.3TRG1DICT-ND</t>
  </si>
  <si>
    <t>Package_TO_SOT_SMD:SOT-23-5</t>
  </si>
  <si>
    <t>https://www.digikey.com/en/products/detail/diodes-incorporated/AP2112K-3-3TRG1/4470746?s=N4IgTCBcDaIIIAUwEZlgNIFoDMA6bIAugL5A</t>
  </si>
  <si>
    <t>https://www.diodes.com/assets/Datasheets/AP2112.pdf</t>
  </si>
  <si>
    <t>U2,U6</t>
  </si>
  <si>
    <t>ESP32-S3-MINI-1</t>
  </si>
  <si>
    <t>ESP32-S3-MINI-1-N8</t>
  </si>
  <si>
    <t>5407-ESP32-S3-MINI-1-N8CT-ND</t>
  </si>
  <si>
    <t>01-Custom:ESP32-S2-MINI-1</t>
  </si>
  <si>
    <t>https://www.digikey.com/en/products/detail/espressif-systems/ESP32-S3-MINI-1-N8/15295890</t>
  </si>
  <si>
    <t>https://www.espressif.com/sites/default/files/documentation/esp32-s3-mini-1_mini-1u_datasheet_en.pdf</t>
  </si>
  <si>
    <t>U3,U7</t>
  </si>
  <si>
    <t>BQ24074RGT</t>
  </si>
  <si>
    <t>BQ24074RGTT</t>
  </si>
  <si>
    <t>C2861252</t>
  </si>
  <si>
    <t>Package_DFN_QFN:VQFN-16-1EP_3x3mm_P0.5mm_EP1.6x1.6mm</t>
  </si>
  <si>
    <t>https://www.lcsc.com/product-detail/C2861252.html?s_z=n_q_BQ24074RGT&amp;spm=wm.fly.bg.1.xh&amp;lcsc_vid=QgIIUVNeFgRXAwBeTgRbBF1fTwQMAldUT1daBlIHTwMxVlNeQ1NfXlFVTlBfUTsOAxUeFF5JWBYZEEoKFBINSQcJGk4NBhADEA4cHktTQVFADxALGw%3D%3D</t>
  </si>
  <si>
    <t>http://www.ti.com/lit/ds/symlink/bq24074.pdf</t>
  </si>
  <si>
    <t>U4,U8</t>
  </si>
  <si>
    <t>USBLC6-2SC6</t>
  </si>
  <si>
    <t>497-5235-1-ND</t>
  </si>
  <si>
    <t>Package_TO_SOT_SMD:SOT-23-6</t>
  </si>
  <si>
    <t>https://www.digikey.com/en/products/detail/stmicroelectronics/USBLC6-2SC6/1040559</t>
  </si>
  <si>
    <t>https://www.st.com/resource/en/datasheet/usblc6-2.pdf</t>
  </si>
  <si>
    <t>batteries</t>
  </si>
  <si>
    <t>Navicore</t>
  </si>
  <si>
    <t>https://www.amazon.com/elxjarcell-Connector-Flashlights-Electronics-Bluetooth/dp/B0F6CPN1RJ/ref=sr_1_3_sspa?crid=2P0HFNEBBJ9MU&amp;dib=eyJ2IjoiMSJ9.jmuW3orDbmi0WRfCrgpjjhfi4umDwHm_l-dMJEJDOq67rU0xfcl4rFLRFQTROB7d1_evn95Q8p5TsYtfW95ZIYOs-bnqeSTDEBdU3vrMTAsoOmK9ORksV9hEOwq_NQU4VBweT2SyD-tu_-noeGLA0-SIh_K1UrcKXNL3VCgEnLGi-QJCgAwd6vF3lcnoMQwNxKWA0XQdGM8JhLNPhftMTZNLIvg_xiGhwKHXTOdRJFD3TMFOz3I8X1LWwt2ovCxSayUl-JP9U1cu5Y8PKmPMPj8AGdlv7Z_It-gwHlg3JvU.4AHQI5nBQCZpwv6ZX6X-xEP04nJgkxYxGCm9WHTRPSo&amp;dib_tag=se&amp;keywords=Lithium+Ion+Cylindrical+Battery+-+3.7v+2200mAh&amp;qid=1784913801&amp;sprefix=lithium+ion+cylindrical+battery+-+3.7v+2200mah%2Caps%2C181&amp;sr=8-3-spons&amp;sp_csd=d2lkZ2V0TmFtZT1zcF9hdGY&amp;psc=1</t>
  </si>
  <si>
    <t>3.7V 2600mAh </t>
  </si>
  <si>
    <t>5-pack for spares</t>
  </si>
  <si>
    <t>GCM188R71E224KA55D</t>
  </si>
  <si>
    <t>https://www.digikey.com/en/products/detail/kemet/C0603C104K3RACTU/416044?s=N4IgTCBcDaIMIAYBsCDMcCMCAsBpVASgIJwAqAqiALoC%2BQA</t>
  </si>
  <si>
    <t>JMK107ABJ106MA-T</t>
  </si>
  <si>
    <t>587-5869-1-ND</t>
  </si>
  <si>
    <t>https://www.digikey.com/en/products/detail/taiyo-yuden/JMK107ABJ106MA-T/4970720</t>
  </si>
  <si>
    <t>Digikey</t>
  </si>
  <si>
    <t>LCSC</t>
  </si>
  <si>
    <t>JLCPCB</t>
  </si>
  <si>
    <t>Pololy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</si>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</sst>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4" fontId="1" fillId="0" borderId="0"/>
    <xf numFmtId="0" fontId="2" fillId="2" borderId="0"/>
    <xf numFmtId="0" fontId="3" fillId="3" borderId="0"/>
    <xf numFmtId="0" fontId="4" fillId="4" borderId="0"/>
    <xf numFmtId="0" fontId="5" fillId="5" borderId="1"/>
  </cellStyleXfs>
  <cellXfs count="11">
    <xf numFmtId="0" fontId="0" fillId="0" borderId="0" xfId="0"/>
    <xf numFmtId="0" fontId="0" fillId="0" borderId="0" xfId="0"/>
    <xf numFmtId="0" fontId="4" fillId="4" borderId="0" xfId="4"/>
    <xf numFmtId="0" fontId="3" fillId="3" borderId="0" xfId="3"/>
    <xf numFmtId="44" fontId="0" fillId="0" borderId="0" xfId="1" applyFont="1"/>
    <xf numFmtId="44" fontId="4" fillId="4" borderId="0" xfId="4" applyNumberFormat="1"/>
    <xf numFmtId="44" fontId="0" fillId="0" borderId="0" xfId="0" applyNumberFormat="1"/>
    <xf numFmtId="44" fontId="0" fillId="0" borderId="0" xfId="1" applyFont="1" applyFill="1"/>
    <xf numFmtId="0" fontId="2" fillId="2" borderId="0" xfId="2"/>
    <xf numFmtId="0" fontId="5" fillId="5" borderId="1" xfId="5"/>
    <xf numFmtId="44" fontId="1" fillId="0" borderId="0" xfId="1"/>
  </cellXfs>
  <cellStyles count="6">
    <cellStyle name="Bad" xfId="3" builtinId="27"/>
    <cellStyle name="Currency" xfId="1" builtinId="4"/>
    <cellStyle name="Good" xfId="2" builtinId="26"/>
    <cellStyle name="Input" xfId="5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e-switch/TL3360CF185Q/5816189?s=N4IgTCBcDaUCoBkDMSBsAGAwgMQIwA4BWARRAF0BfIA" TargetMode="External"/><Relationship Id="rId2" Type="http://schemas.openxmlformats.org/officeDocument/2006/relationships/hyperlink" Target="https://www.digikey.com/en/products/detail/jst-sales-america-inc/S2B-PH-SM4-TB/926655?s=N4IgTCBcDaIMpgEIFoAKAJZcCyAWZAKogPoAyAYscXAHLEgC6AvkA" TargetMode="External"/><Relationship Id="rId1" Type="http://schemas.openxmlformats.org/officeDocument/2006/relationships/hyperlink" Target="https://www.digikey.com/en/products/detail/murata-electronics/GCM188R71E224KA55D/1765183?s=N4IgTCBcDaICwE4AMBaRBmArCgjCgcgCI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zoomScale="115" zoomScaleNormal="115" workbookViewId="0">
      <selection activeCell="F29" sqref="F29"/>
    </sheetView>
  </sheetViews>
  <sheetFormatPr defaultRowHeight="14.4" x14ac:dyDescent="0.3"/>
  <cols>
    <col min="2" max="2" width="24.5546875" style="1" customWidth="1"/>
    <col min="4" max="4" width="22.6640625" style="1" bestFit="1" customWidth="1"/>
    <col min="5" max="5" width="20.77734375" style="1" bestFit="1" customWidth="1"/>
    <col min="6" max="6" width="27.33203125" style="1" bestFit="1" customWidth="1"/>
    <col min="11" max="11" width="5.88671875" style="1" customWidth="1"/>
    <col min="12" max="12" width="48" style="1" customWidth="1"/>
    <col min="13" max="13" width="83.21875" style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8" customFormat="1" x14ac:dyDescent="0.3">
      <c r="A2" s="8">
        <v>1</v>
      </c>
      <c r="B2" s="8" t="s">
        <v>14</v>
      </c>
      <c r="C2" s="8">
        <v>14</v>
      </c>
      <c r="D2" s="8" t="s">
        <v>15</v>
      </c>
      <c r="E2" s="8" t="s">
        <v>16</v>
      </c>
      <c r="F2" s="8" t="s">
        <v>17</v>
      </c>
      <c r="G2" s="8">
        <v>0.156</v>
      </c>
      <c r="H2" s="8">
        <f t="shared" ref="H2:H30" si="0">G2*C2</f>
        <v>2.1840000000000002</v>
      </c>
      <c r="L2" s="8" t="s">
        <v>18</v>
      </c>
      <c r="M2" s="8" t="s">
        <v>19</v>
      </c>
      <c r="N2" s="8" t="s">
        <v>20</v>
      </c>
    </row>
    <row r="3" spans="1:14" s="8" customFormat="1" x14ac:dyDescent="0.3">
      <c r="A3" s="8">
        <v>2</v>
      </c>
      <c r="B3" s="8" t="s">
        <v>21</v>
      </c>
      <c r="C3" s="8">
        <v>2</v>
      </c>
      <c r="D3" s="8" t="s">
        <v>22</v>
      </c>
      <c r="E3" s="8" t="s">
        <v>23</v>
      </c>
      <c r="F3" s="8" t="s">
        <v>24</v>
      </c>
      <c r="G3" s="8">
        <v>0.14000000000000001</v>
      </c>
      <c r="H3" s="8">
        <f t="shared" si="0"/>
        <v>0.28000000000000003</v>
      </c>
      <c r="L3" s="8" t="s">
        <v>25</v>
      </c>
      <c r="M3" s="8" t="s">
        <v>26</v>
      </c>
      <c r="N3" s="8" t="s">
        <v>27</v>
      </c>
    </row>
    <row r="4" spans="1:14" s="8" customFormat="1" x14ac:dyDescent="0.3">
      <c r="A4" s="8">
        <v>3</v>
      </c>
      <c r="B4" s="8" t="s">
        <v>28</v>
      </c>
      <c r="C4" s="8">
        <v>2</v>
      </c>
      <c r="D4" s="8" t="s">
        <v>29</v>
      </c>
      <c r="E4" s="8" t="s">
        <v>30</v>
      </c>
      <c r="F4" s="8" t="s">
        <v>31</v>
      </c>
      <c r="G4" s="8">
        <v>0.1</v>
      </c>
      <c r="H4" s="8">
        <f t="shared" si="0"/>
        <v>0.2</v>
      </c>
      <c r="L4" s="8" t="s">
        <v>25</v>
      </c>
      <c r="M4" s="8" t="s">
        <v>32</v>
      </c>
      <c r="N4" s="8" t="s">
        <v>33</v>
      </c>
    </row>
    <row r="5" spans="1:14" s="8" customFormat="1" x14ac:dyDescent="0.3">
      <c r="A5" s="8">
        <v>4</v>
      </c>
      <c r="B5" s="8" t="s">
        <v>34</v>
      </c>
      <c r="C5" s="8">
        <v>2</v>
      </c>
      <c r="D5" s="8" t="s">
        <v>22</v>
      </c>
      <c r="E5" s="8" t="s">
        <v>183</v>
      </c>
      <c r="F5" s="8" t="s">
        <v>183</v>
      </c>
      <c r="G5" s="8">
        <v>0.11</v>
      </c>
      <c r="H5" s="8">
        <f t="shared" si="0"/>
        <v>0.22</v>
      </c>
      <c r="L5" s="8" t="s">
        <v>18</v>
      </c>
      <c r="M5" s="8" t="s">
        <v>35</v>
      </c>
      <c r="N5" s="8" t="s">
        <v>36</v>
      </c>
    </row>
    <row r="6" spans="1:14" s="8" customFormat="1" x14ac:dyDescent="0.3">
      <c r="A6" s="8">
        <v>5</v>
      </c>
      <c r="B6" s="8" t="s">
        <v>37</v>
      </c>
      <c r="C6" s="8">
        <v>4</v>
      </c>
      <c r="D6" s="8" t="s">
        <v>29</v>
      </c>
      <c r="E6" s="8" t="s">
        <v>38</v>
      </c>
      <c r="F6" s="8" t="s">
        <v>39</v>
      </c>
      <c r="G6" s="8">
        <v>0.1</v>
      </c>
      <c r="H6" s="8">
        <f t="shared" si="0"/>
        <v>0.4</v>
      </c>
      <c r="L6" s="8" t="s">
        <v>18</v>
      </c>
      <c r="M6" s="8" t="s">
        <v>184</v>
      </c>
      <c r="N6" s="8" t="s">
        <v>40</v>
      </c>
    </row>
    <row r="7" spans="1:14" s="8" customFormat="1" x14ac:dyDescent="0.3">
      <c r="A7" s="8">
        <v>6</v>
      </c>
      <c r="B7" s="8" t="s">
        <v>41</v>
      </c>
      <c r="C7" s="8">
        <v>10</v>
      </c>
      <c r="D7" s="8" t="s">
        <v>42</v>
      </c>
      <c r="E7" s="8" t="s">
        <v>43</v>
      </c>
      <c r="F7" s="8" t="s">
        <v>44</v>
      </c>
      <c r="G7" s="8">
        <v>5.3999999999999999E-2</v>
      </c>
      <c r="H7" s="8">
        <f t="shared" si="0"/>
        <v>0.54</v>
      </c>
      <c r="L7" s="8" t="s">
        <v>18</v>
      </c>
      <c r="M7" s="8" t="s">
        <v>45</v>
      </c>
      <c r="N7" s="8" t="s">
        <v>40</v>
      </c>
    </row>
    <row r="8" spans="1:14" s="8" customFormat="1" x14ac:dyDescent="0.3">
      <c r="A8" s="8">
        <v>7</v>
      </c>
      <c r="B8" s="8" t="s">
        <v>46</v>
      </c>
      <c r="C8" s="8">
        <v>2</v>
      </c>
      <c r="D8" s="8" t="s">
        <v>47</v>
      </c>
      <c r="E8" s="8" t="s">
        <v>185</v>
      </c>
      <c r="F8" s="8" t="s">
        <v>186</v>
      </c>
      <c r="G8" s="8">
        <v>0.1</v>
      </c>
      <c r="H8" s="8">
        <f t="shared" si="0"/>
        <v>0.2</v>
      </c>
      <c r="L8" s="8" t="s">
        <v>18</v>
      </c>
      <c r="M8" s="8" t="s">
        <v>187</v>
      </c>
      <c r="N8" s="8" t="s">
        <v>48</v>
      </c>
    </row>
    <row r="9" spans="1:14" x14ac:dyDescent="0.3">
      <c r="A9" s="3">
        <v>8</v>
      </c>
      <c r="B9" s="2" t="s">
        <v>49</v>
      </c>
      <c r="C9" s="2">
        <v>6</v>
      </c>
      <c r="D9" s="2" t="s">
        <v>50</v>
      </c>
      <c r="E9" s="3" t="s">
        <v>51</v>
      </c>
      <c r="F9" s="2" t="s">
        <v>52</v>
      </c>
      <c r="G9" s="5">
        <v>0.46</v>
      </c>
      <c r="H9" s="5">
        <f t="shared" si="0"/>
        <v>2.7600000000000002</v>
      </c>
      <c r="I9" s="2"/>
      <c r="J9" s="2"/>
      <c r="K9" s="2"/>
      <c r="L9" s="2" t="s">
        <v>53</v>
      </c>
      <c r="M9" s="2" t="s">
        <v>54</v>
      </c>
      <c r="N9" t="s">
        <v>55</v>
      </c>
    </row>
    <row r="10" spans="1:14" s="8" customFormat="1" x14ac:dyDescent="0.3">
      <c r="A10" s="8">
        <v>9</v>
      </c>
      <c r="B10" s="8" t="s">
        <v>56</v>
      </c>
      <c r="C10" s="8">
        <v>2</v>
      </c>
      <c r="D10" s="8" t="s">
        <v>57</v>
      </c>
      <c r="E10" s="8" t="s">
        <v>57</v>
      </c>
      <c r="F10" s="8" t="s">
        <v>58</v>
      </c>
      <c r="G10" s="8">
        <v>1.25</v>
      </c>
      <c r="H10" s="8">
        <f t="shared" si="0"/>
        <v>2.5</v>
      </c>
      <c r="L10" s="8" t="s">
        <v>59</v>
      </c>
      <c r="M10" s="8" t="s">
        <v>60</v>
      </c>
      <c r="N10" s="8" t="s">
        <v>61</v>
      </c>
    </row>
    <row r="11" spans="1:14" x14ac:dyDescent="0.3">
      <c r="A11" s="2">
        <v>10</v>
      </c>
      <c r="B11" s="2" t="s">
        <v>62</v>
      </c>
      <c r="C11" s="2">
        <v>2</v>
      </c>
      <c r="D11" s="2" t="s">
        <v>63</v>
      </c>
      <c r="E11" s="2" t="s">
        <v>63</v>
      </c>
      <c r="F11" s="2" t="s">
        <v>64</v>
      </c>
      <c r="G11" s="5">
        <v>6.6</v>
      </c>
      <c r="H11" s="5">
        <f t="shared" si="0"/>
        <v>13.2</v>
      </c>
      <c r="I11" s="2"/>
      <c r="J11" s="2"/>
      <c r="K11" s="2"/>
      <c r="L11" s="2" t="s">
        <v>65</v>
      </c>
      <c r="M11" s="2" t="s">
        <v>66</v>
      </c>
      <c r="N11" s="2" t="s">
        <v>67</v>
      </c>
    </row>
    <row r="12" spans="1:14" s="8" customFormat="1" x14ac:dyDescent="0.3">
      <c r="A12" s="8">
        <v>11</v>
      </c>
      <c r="B12" s="8" t="s">
        <v>68</v>
      </c>
      <c r="C12" s="8">
        <v>2</v>
      </c>
      <c r="D12" s="8" t="s">
        <v>69</v>
      </c>
      <c r="E12" s="8" t="s">
        <v>69</v>
      </c>
      <c r="F12" s="8" t="s">
        <v>70</v>
      </c>
      <c r="G12" s="8">
        <v>0.8</v>
      </c>
      <c r="H12" s="8">
        <f t="shared" si="0"/>
        <v>1.6</v>
      </c>
      <c r="L12" s="8" t="s">
        <v>71</v>
      </c>
      <c r="M12" s="8" t="s">
        <v>72</v>
      </c>
      <c r="N12" s="8" t="s">
        <v>73</v>
      </c>
    </row>
    <row r="13" spans="1:14" s="8" customFormat="1" x14ac:dyDescent="0.3">
      <c r="A13" s="8">
        <v>12</v>
      </c>
      <c r="B13" s="8" t="s">
        <v>74</v>
      </c>
      <c r="C13" s="8">
        <v>2</v>
      </c>
      <c r="D13" s="8" t="s">
        <v>75</v>
      </c>
      <c r="E13" s="8" t="s">
        <v>76</v>
      </c>
      <c r="F13" s="8" t="s">
        <v>77</v>
      </c>
      <c r="G13" s="8">
        <v>0.49</v>
      </c>
      <c r="H13" s="8">
        <f t="shared" si="0"/>
        <v>0.98</v>
      </c>
      <c r="L13" s="8" t="s">
        <v>78</v>
      </c>
      <c r="M13" s="8" t="s">
        <v>79</v>
      </c>
      <c r="N13" s="8" t="s">
        <v>80</v>
      </c>
    </row>
    <row r="14" spans="1:14" x14ac:dyDescent="0.3">
      <c r="A14">
        <v>13</v>
      </c>
      <c r="B14" t="s">
        <v>81</v>
      </c>
      <c r="C14">
        <v>2</v>
      </c>
      <c r="D14" t="s">
        <v>8</v>
      </c>
      <c r="G14" s="4"/>
      <c r="H14" s="4">
        <f t="shared" si="0"/>
        <v>0</v>
      </c>
      <c r="L14" t="s">
        <v>82</v>
      </c>
      <c r="N14" t="s">
        <v>83</v>
      </c>
    </row>
    <row r="15" spans="1:14" x14ac:dyDescent="0.3">
      <c r="A15">
        <v>14</v>
      </c>
      <c r="B15" s="8" t="s">
        <v>84</v>
      </c>
      <c r="C15" s="8">
        <v>10</v>
      </c>
      <c r="D15" s="8" t="s">
        <v>85</v>
      </c>
      <c r="E15" s="8" t="s">
        <v>86</v>
      </c>
      <c r="F15" s="8" t="s">
        <v>87</v>
      </c>
      <c r="G15" s="8">
        <v>2.5000000000000001E-2</v>
      </c>
      <c r="H15" s="8">
        <f t="shared" si="0"/>
        <v>0.25</v>
      </c>
      <c r="I15" s="8"/>
      <c r="J15" s="8"/>
      <c r="K15" s="8"/>
      <c r="L15" s="8" t="s">
        <v>88</v>
      </c>
      <c r="M15" s="8" t="s">
        <v>89</v>
      </c>
      <c r="N15" t="s">
        <v>90</v>
      </c>
    </row>
    <row r="16" spans="1:14" s="8" customFormat="1" x14ac:dyDescent="0.3">
      <c r="A16" s="8">
        <v>15</v>
      </c>
      <c r="B16" s="8" t="s">
        <v>91</v>
      </c>
      <c r="C16" s="8">
        <v>6</v>
      </c>
      <c r="D16" s="8">
        <v>330</v>
      </c>
      <c r="E16" s="8" t="s">
        <v>92</v>
      </c>
      <c r="F16" s="8" t="s">
        <v>93</v>
      </c>
      <c r="G16" s="8">
        <v>0.1</v>
      </c>
      <c r="H16" s="8">
        <f t="shared" si="0"/>
        <v>0.60000000000000009</v>
      </c>
      <c r="L16" s="8" t="s">
        <v>88</v>
      </c>
      <c r="M16" s="8" t="s">
        <v>94</v>
      </c>
      <c r="N16" s="8" t="s">
        <v>90</v>
      </c>
    </row>
    <row r="17" spans="1:14" s="8" customFormat="1" x14ac:dyDescent="0.3">
      <c r="A17" s="8">
        <v>16</v>
      </c>
      <c r="B17" s="8" t="s">
        <v>95</v>
      </c>
      <c r="C17" s="8">
        <v>2</v>
      </c>
      <c r="D17" s="8" t="s">
        <v>96</v>
      </c>
      <c r="E17" s="8" t="s">
        <v>96</v>
      </c>
      <c r="F17" s="8" t="s">
        <v>97</v>
      </c>
      <c r="G17" s="8">
        <v>3.24</v>
      </c>
      <c r="H17" s="8">
        <f t="shared" si="0"/>
        <v>6.48</v>
      </c>
      <c r="L17" s="8" t="s">
        <v>98</v>
      </c>
      <c r="M17" s="8" t="s">
        <v>99</v>
      </c>
      <c r="N17" s="8" t="s">
        <v>100</v>
      </c>
    </row>
    <row r="18" spans="1:14" s="8" customFormat="1" x14ac:dyDescent="0.3">
      <c r="A18" s="8">
        <v>17</v>
      </c>
      <c r="B18" s="8" t="s">
        <v>101</v>
      </c>
      <c r="C18" s="8">
        <v>2</v>
      </c>
      <c r="D18" s="8" t="s">
        <v>102</v>
      </c>
      <c r="E18" s="8" t="s">
        <v>103</v>
      </c>
      <c r="F18" s="8" t="s">
        <v>104</v>
      </c>
      <c r="G18" s="8">
        <v>0.1</v>
      </c>
      <c r="H18" s="8">
        <f t="shared" si="0"/>
        <v>0.2</v>
      </c>
      <c r="L18" s="8" t="s">
        <v>88</v>
      </c>
      <c r="M18" s="8" t="s">
        <v>105</v>
      </c>
      <c r="N18" s="8" t="s">
        <v>106</v>
      </c>
    </row>
    <row r="19" spans="1:14" s="8" customFormat="1" x14ac:dyDescent="0.3">
      <c r="A19" s="8">
        <v>18</v>
      </c>
      <c r="B19" s="8" t="s">
        <v>107</v>
      </c>
      <c r="C19" s="8">
        <v>2</v>
      </c>
      <c r="D19" s="8" t="s">
        <v>108</v>
      </c>
      <c r="E19" s="8" t="s">
        <v>109</v>
      </c>
      <c r="F19" s="8" t="s">
        <v>110</v>
      </c>
      <c r="G19" s="8">
        <v>0.1</v>
      </c>
      <c r="H19" s="8">
        <f t="shared" si="0"/>
        <v>0.2</v>
      </c>
      <c r="L19" s="8" t="s">
        <v>88</v>
      </c>
      <c r="M19" s="8" t="s">
        <v>111</v>
      </c>
      <c r="N19" s="8" t="s">
        <v>90</v>
      </c>
    </row>
    <row r="20" spans="1:14" s="8" customFormat="1" x14ac:dyDescent="0.3">
      <c r="A20" s="8">
        <v>19</v>
      </c>
      <c r="B20" s="8" t="s">
        <v>112</v>
      </c>
      <c r="C20" s="8">
        <v>2</v>
      </c>
      <c r="D20" s="8" t="s">
        <v>113</v>
      </c>
      <c r="E20" s="8" t="s">
        <v>114</v>
      </c>
      <c r="F20" s="8" t="s">
        <v>115</v>
      </c>
      <c r="G20" s="8">
        <v>0.1</v>
      </c>
      <c r="H20" s="8">
        <f t="shared" si="0"/>
        <v>0.2</v>
      </c>
      <c r="L20" s="8" t="s">
        <v>88</v>
      </c>
      <c r="M20" s="8" t="s">
        <v>116</v>
      </c>
      <c r="N20" s="8" t="s">
        <v>117</v>
      </c>
    </row>
    <row r="21" spans="1:14" s="8" customFormat="1" x14ac:dyDescent="0.3">
      <c r="A21" s="8">
        <v>20</v>
      </c>
      <c r="B21" s="8" t="s">
        <v>118</v>
      </c>
      <c r="C21" s="8">
        <v>4</v>
      </c>
      <c r="D21" s="8" t="s">
        <v>119</v>
      </c>
      <c r="E21" s="8" t="s">
        <v>120</v>
      </c>
      <c r="F21" s="8" t="s">
        <v>121</v>
      </c>
      <c r="G21" s="8">
        <v>0.1</v>
      </c>
      <c r="H21" s="8">
        <f t="shared" si="0"/>
        <v>0.4</v>
      </c>
      <c r="L21" s="8" t="s">
        <v>88</v>
      </c>
      <c r="M21" s="8" t="s">
        <v>122</v>
      </c>
      <c r="N21" s="8" t="s">
        <v>90</v>
      </c>
    </row>
    <row r="22" spans="1:14" x14ac:dyDescent="0.3">
      <c r="A22" s="2">
        <v>21</v>
      </c>
      <c r="B22" s="2" t="s">
        <v>123</v>
      </c>
      <c r="C22" s="2">
        <v>2</v>
      </c>
      <c r="D22" s="2" t="s">
        <v>124</v>
      </c>
      <c r="E22" s="2" t="s">
        <v>124</v>
      </c>
      <c r="F22" s="2" t="s">
        <v>125</v>
      </c>
      <c r="G22" s="5">
        <v>1.31</v>
      </c>
      <c r="H22" s="5">
        <f t="shared" si="0"/>
        <v>2.62</v>
      </c>
      <c r="I22" s="2"/>
      <c r="J22" s="2"/>
      <c r="K22" s="2"/>
      <c r="L22" s="2" t="s">
        <v>126</v>
      </c>
      <c r="M22" s="2" t="s">
        <v>127</v>
      </c>
      <c r="N22" s="2" t="s">
        <v>128</v>
      </c>
    </row>
    <row r="23" spans="1:14" s="8" customFormat="1" x14ac:dyDescent="0.3">
      <c r="A23" s="8">
        <v>22</v>
      </c>
      <c r="B23" s="8" t="s">
        <v>129</v>
      </c>
      <c r="C23" s="8">
        <v>16</v>
      </c>
      <c r="D23" s="8" t="s">
        <v>130</v>
      </c>
      <c r="E23" s="8" t="s">
        <v>131</v>
      </c>
      <c r="F23" s="8" t="s">
        <v>132</v>
      </c>
      <c r="G23" s="8">
        <v>1.51</v>
      </c>
      <c r="H23" s="8">
        <f t="shared" si="0"/>
        <v>24.16</v>
      </c>
      <c r="L23" s="8" t="s">
        <v>133</v>
      </c>
      <c r="M23" s="8" t="s">
        <v>134</v>
      </c>
      <c r="N23" s="8" t="s">
        <v>135</v>
      </c>
    </row>
    <row r="24" spans="1:14" s="8" customFormat="1" x14ac:dyDescent="0.3">
      <c r="A24" s="8">
        <v>23</v>
      </c>
      <c r="B24" s="8" t="s">
        <v>136</v>
      </c>
      <c r="C24" s="8">
        <v>2</v>
      </c>
      <c r="D24" s="8" t="s">
        <v>137</v>
      </c>
      <c r="E24" s="8" t="s">
        <v>138</v>
      </c>
      <c r="F24" s="8" t="s">
        <v>139</v>
      </c>
      <c r="G24" s="8">
        <v>0.59</v>
      </c>
      <c r="H24" s="8">
        <f t="shared" si="0"/>
        <v>1.18</v>
      </c>
      <c r="L24" s="8" t="s">
        <v>140</v>
      </c>
      <c r="M24" s="8" t="s">
        <v>141</v>
      </c>
      <c r="N24" s="8" t="s">
        <v>142</v>
      </c>
    </row>
    <row r="25" spans="1:14" s="8" customFormat="1" x14ac:dyDescent="0.3">
      <c r="A25" s="8">
        <v>24</v>
      </c>
      <c r="B25" s="8" t="s">
        <v>143</v>
      </c>
      <c r="C25" s="8">
        <v>2</v>
      </c>
      <c r="D25" s="8" t="s">
        <v>144</v>
      </c>
      <c r="E25" s="8" t="s">
        <v>138</v>
      </c>
      <c r="F25" s="8" t="s">
        <v>139</v>
      </c>
      <c r="G25" s="8">
        <v>0.59</v>
      </c>
      <c r="H25" s="8">
        <f t="shared" si="0"/>
        <v>1.18</v>
      </c>
      <c r="L25" s="8" t="s">
        <v>140</v>
      </c>
      <c r="M25" s="8" t="s">
        <v>141</v>
      </c>
      <c r="N25" s="8" t="s">
        <v>142</v>
      </c>
    </row>
    <row r="26" spans="1:14" s="9" customFormat="1" x14ac:dyDescent="0.3">
      <c r="A26" s="9">
        <v>25</v>
      </c>
      <c r="B26" s="9" t="s">
        <v>145</v>
      </c>
      <c r="C26" s="9">
        <v>2</v>
      </c>
      <c r="D26" s="9" t="s">
        <v>146</v>
      </c>
      <c r="E26" s="9" t="s">
        <v>146</v>
      </c>
      <c r="F26" s="9" t="s">
        <v>147</v>
      </c>
      <c r="G26" s="9">
        <v>1.28</v>
      </c>
      <c r="H26" s="9">
        <f t="shared" si="0"/>
        <v>2.56</v>
      </c>
      <c r="L26" s="9" t="s">
        <v>148</v>
      </c>
      <c r="M26" s="9" t="s">
        <v>149</v>
      </c>
      <c r="N26" s="9" t="s">
        <v>150</v>
      </c>
    </row>
    <row r="27" spans="1:14" s="8" customFormat="1" x14ac:dyDescent="0.3">
      <c r="A27" s="8">
        <v>26</v>
      </c>
      <c r="B27" s="8" t="s">
        <v>151</v>
      </c>
      <c r="C27" s="8">
        <v>2</v>
      </c>
      <c r="D27" s="8" t="s">
        <v>152</v>
      </c>
      <c r="E27" s="8" t="s">
        <v>153</v>
      </c>
      <c r="F27" s="8" t="s">
        <v>154</v>
      </c>
      <c r="G27" s="8">
        <v>0.25</v>
      </c>
      <c r="H27" s="8">
        <f t="shared" si="0"/>
        <v>0.5</v>
      </c>
      <c r="L27" s="8" t="s">
        <v>155</v>
      </c>
      <c r="M27" s="8" t="s">
        <v>156</v>
      </c>
      <c r="N27" s="8" t="s">
        <v>157</v>
      </c>
    </row>
    <row r="28" spans="1:14" s="8" customFormat="1" x14ac:dyDescent="0.3">
      <c r="A28" s="8">
        <v>27</v>
      </c>
      <c r="B28" s="8" t="s">
        <v>158</v>
      </c>
      <c r="C28" s="8">
        <v>2</v>
      </c>
      <c r="D28" s="8" t="s">
        <v>159</v>
      </c>
      <c r="E28" s="8" t="s">
        <v>160</v>
      </c>
      <c r="F28" s="8" t="s">
        <v>161</v>
      </c>
      <c r="G28" s="8">
        <v>5.43</v>
      </c>
      <c r="H28" s="8">
        <f t="shared" si="0"/>
        <v>10.86</v>
      </c>
      <c r="L28" s="8" t="s">
        <v>162</v>
      </c>
      <c r="M28" s="8" t="s">
        <v>163</v>
      </c>
      <c r="N28" s="8" t="s">
        <v>164</v>
      </c>
    </row>
    <row r="29" spans="1:14" x14ac:dyDescent="0.3">
      <c r="A29" s="2">
        <v>28</v>
      </c>
      <c r="B29" s="2" t="s">
        <v>165</v>
      </c>
      <c r="C29" s="2">
        <v>2</v>
      </c>
      <c r="D29" s="2" t="s">
        <v>166</v>
      </c>
      <c r="E29" s="3" t="s">
        <v>167</v>
      </c>
      <c r="F29" s="2" t="s">
        <v>168</v>
      </c>
      <c r="G29" s="5">
        <v>3.09</v>
      </c>
      <c r="H29" s="5">
        <f t="shared" si="0"/>
        <v>6.18</v>
      </c>
      <c r="I29" s="2"/>
      <c r="J29" s="2"/>
      <c r="K29" s="2"/>
      <c r="L29" s="2" t="s">
        <v>169</v>
      </c>
      <c r="M29" s="2" t="s">
        <v>170</v>
      </c>
      <c r="N29" s="2" t="s">
        <v>171</v>
      </c>
    </row>
    <row r="30" spans="1:14" s="8" customFormat="1" x14ac:dyDescent="0.3">
      <c r="A30" s="8">
        <v>29</v>
      </c>
      <c r="B30" s="8" t="s">
        <v>172</v>
      </c>
      <c r="C30" s="8">
        <v>2</v>
      </c>
      <c r="D30" s="8" t="s">
        <v>173</v>
      </c>
      <c r="E30" s="8" t="s">
        <v>173</v>
      </c>
      <c r="F30" s="8" t="s">
        <v>174</v>
      </c>
      <c r="G30" s="8">
        <v>0.54</v>
      </c>
      <c r="H30" s="8">
        <f t="shared" si="0"/>
        <v>1.08</v>
      </c>
      <c r="L30" s="8" t="s">
        <v>175</v>
      </c>
      <c r="M30" s="8" t="s">
        <v>176</v>
      </c>
      <c r="N30" s="8" t="s">
        <v>177</v>
      </c>
    </row>
    <row r="31" spans="1:14" x14ac:dyDescent="0.3">
      <c r="H31" s="6">
        <f>SUM(H2:H30)</f>
        <v>83.714000000000013</v>
      </c>
    </row>
    <row r="32" spans="1:14" x14ac:dyDescent="0.3">
      <c r="B32" s="1" t="s">
        <v>178</v>
      </c>
      <c r="D32" s="1" t="s">
        <v>181</v>
      </c>
      <c r="G32" s="7">
        <v>25</v>
      </c>
      <c r="L32" s="1" t="s">
        <v>182</v>
      </c>
      <c r="M32" s="1" t="s">
        <v>180</v>
      </c>
    </row>
    <row r="34" spans="2:2" x14ac:dyDescent="0.3">
      <c r="B34" s="1" t="s">
        <v>179</v>
      </c>
    </row>
  </sheetData>
  <hyperlinks>
    <hyperlink ref="M5" r:id="rId1" xr:uid="{00000000-0004-0000-0000-000000000000}"/>
    <hyperlink ref="M13" r:id="rId2" xr:uid="{00000000-0004-0000-0000-000002000000}"/>
    <hyperlink ref="M23" r:id="rId3" xr:uid="{00000000-0004-0000-0000-000003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A415-62E6-456E-B555-7963B38D9766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188</v>
      </c>
      <c r="B1" s="10">
        <v>226.28</v>
      </c>
    </row>
    <row r="2" spans="1:3" x14ac:dyDescent="0.3">
      <c r="A2" t="s">
        <v>189</v>
      </c>
      <c r="B2" s="10">
        <v>71.790000000000006</v>
      </c>
    </row>
    <row r="3" spans="1:3" x14ac:dyDescent="0.3">
      <c r="A3" t="s">
        <v>190</v>
      </c>
      <c r="B3" s="10">
        <v>183.12</v>
      </c>
    </row>
    <row r="4" spans="1:3" x14ac:dyDescent="0.3">
      <c r="A4" t="s">
        <v>191</v>
      </c>
      <c r="B4" s="10">
        <v>47.54</v>
      </c>
    </row>
    <row r="5" spans="1:3" x14ac:dyDescent="0.3">
      <c r="A5" t="s">
        <v>192</v>
      </c>
      <c r="B5" s="10">
        <v>35</v>
      </c>
    </row>
    <row r="6" spans="1:3" x14ac:dyDescent="0.3">
      <c r="B6" s="6">
        <f>SUM(B1:B5)</f>
        <v>563.73</v>
      </c>
      <c r="C6" s="6">
        <f>B6/2</f>
        <v>281.86500000000001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R2_HH_Controllers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Hulette</dc:creator>
  <cp:lastModifiedBy>Gregory Hulette</cp:lastModifiedBy>
  <dcterms:created xsi:type="dcterms:W3CDTF">2026-07-16T16:35:06Z</dcterms:created>
  <dcterms:modified xsi:type="dcterms:W3CDTF">2026-07-24T18:40:21Z</dcterms:modified>
</cp:coreProperties>
</file>